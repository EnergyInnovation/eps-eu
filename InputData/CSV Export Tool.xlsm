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812F74D3-4DBB-4DF8-9832-C70D6EBA4D42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46" i="1"/>
  <c r="J936" i="1"/>
  <c r="J916" i="1"/>
  <c r="J896" i="1"/>
  <c r="J950" i="1"/>
  <c r="J940" i="1"/>
  <c r="J900" i="1"/>
  <c r="J998" i="1"/>
  <c r="J1000" i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<sst xmlns="http://schemas.openxmlformats.org/spreadsheetml/2006/main" count="4328" uniqueCount="1448">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</sst>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73.4832002314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9"/>
    <x v="201"/>
  </r>
  <r>
    <x v="11"/>
    <x v="59"/>
    <x v="202"/>
  </r>
  <r>
    <x v="11"/>
    <x v="60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1"/>
    <x v="215"/>
  </r>
  <r>
    <x v="11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3"/>
    <x v="67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8"/>
    <x v="232"/>
  </r>
  <r>
    <x v="13"/>
    <x v="68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2"/>
    <x v="321"/>
  </r>
  <r>
    <x v="13"/>
    <x v="102"/>
    <x v="322"/>
  </r>
  <r>
    <x v="13"/>
    <x v="103"/>
    <x v="323"/>
  </r>
  <r>
    <x v="13"/>
    <x v="103"/>
    <x v="324"/>
  </r>
  <r>
    <x v="13"/>
    <x v="104"/>
    <x v="325"/>
  </r>
  <r>
    <x v="13"/>
    <x v="104"/>
    <x v="326"/>
  </r>
  <r>
    <x v="13"/>
    <x v="105"/>
    <x v="327"/>
  </r>
  <r>
    <x v="13"/>
    <x v="105"/>
    <x v="328"/>
  </r>
  <r>
    <x v="13"/>
    <x v="106"/>
    <x v="329"/>
  </r>
  <r>
    <x v="13"/>
    <x v="106"/>
    <x v="330"/>
  </r>
  <r>
    <x v="13"/>
    <x v="107"/>
    <x v="331"/>
  </r>
  <r>
    <x v="13"/>
    <x v="107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2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3"/>
    <x v="369"/>
  </r>
  <r>
    <x v="13"/>
    <x v="113"/>
    <x v="370"/>
  </r>
  <r>
    <x v="13"/>
    <x v="114"/>
    <x v="371"/>
  </r>
  <r>
    <x v="13"/>
    <x v="114"/>
    <x v="372"/>
  </r>
  <r>
    <x v="13"/>
    <x v="114"/>
    <x v="373"/>
  </r>
  <r>
    <x v="13"/>
    <x v="115"/>
    <x v="374"/>
  </r>
  <r>
    <x v="13"/>
    <x v="115"/>
    <x v="375"/>
  </r>
  <r>
    <x v="13"/>
    <x v="115"/>
    <x v="376"/>
  </r>
  <r>
    <x v="13"/>
    <x v="115"/>
    <x v="377"/>
  </r>
  <r>
    <x v="13"/>
    <x v="116"/>
    <x v="378"/>
  </r>
  <r>
    <x v="13"/>
    <x v="116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1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2"/>
    <x v="415"/>
  </r>
  <r>
    <x v="13"/>
    <x v="122"/>
    <x v="416"/>
  </r>
  <r>
    <x v="13"/>
    <x v="122"/>
    <x v="417"/>
  </r>
  <r>
    <x v="13"/>
    <x v="122"/>
    <x v="418"/>
  </r>
  <r>
    <x v="13"/>
    <x v="122"/>
    <x v="419"/>
  </r>
  <r>
    <x v="13"/>
    <x v="123"/>
    <x v="420"/>
  </r>
  <r>
    <x v="13"/>
    <x v="123"/>
    <x v="421"/>
  </r>
  <r>
    <x v="13"/>
    <x v="124"/>
    <x v="422"/>
  </r>
  <r>
    <x v="13"/>
    <x v="124"/>
    <x v="423"/>
  </r>
  <r>
    <x v="13"/>
    <x v="124"/>
    <x v="424"/>
  </r>
  <r>
    <x v="14"/>
    <x v="125"/>
    <x v="425"/>
  </r>
  <r>
    <x v="14"/>
    <x v="125"/>
    <x v="426"/>
  </r>
  <r>
    <x v="14"/>
    <x v="125"/>
    <x v="427"/>
  </r>
  <r>
    <x v="14"/>
    <x v="126"/>
    <x v="428"/>
  </r>
  <r>
    <x v="14"/>
    <x v="126"/>
    <x v="429"/>
  </r>
  <r>
    <x v="14"/>
    <x v="126"/>
    <x v="310"/>
  </r>
  <r>
    <x v="14"/>
    <x v="127"/>
    <x v="430"/>
  </r>
  <r>
    <x v="14"/>
    <x v="127"/>
    <x v="431"/>
  </r>
  <r>
    <x v="14"/>
    <x v="127"/>
    <x v="432"/>
  </r>
  <r>
    <x v="14"/>
    <x v="128"/>
    <x v="433"/>
  </r>
  <r>
    <x v="14"/>
    <x v="128"/>
    <x v="434"/>
  </r>
  <r>
    <x v="14"/>
    <x v="129"/>
    <x v="435"/>
  </r>
  <r>
    <x v="14"/>
    <x v="129"/>
    <x v="436"/>
  </r>
  <r>
    <x v="14"/>
    <x v="130"/>
    <x v="437"/>
  </r>
  <r>
    <x v="14"/>
    <x v="130"/>
    <x v="438"/>
  </r>
  <r>
    <x v="14"/>
    <x v="131"/>
    <x v="439"/>
  </r>
  <r>
    <x v="14"/>
    <x v="131"/>
    <x v="440"/>
  </r>
  <r>
    <x v="15"/>
    <x v="132"/>
    <x v="441"/>
  </r>
  <r>
    <x v="15"/>
    <x v="132"/>
    <x v="442"/>
  </r>
  <r>
    <x v="15"/>
    <x v="133"/>
    <x v="443"/>
  </r>
  <r>
    <x v="15"/>
    <x v="133"/>
    <x v="444"/>
  </r>
  <r>
    <x v="15"/>
    <x v="133"/>
    <x v="445"/>
  </r>
  <r>
    <x v="15"/>
    <x v="133"/>
    <x v="446"/>
  </r>
  <r>
    <x v="15"/>
    <x v="133"/>
    <x v="447"/>
  </r>
  <r>
    <x v="15"/>
    <x v="133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4"/>
    <x v="486"/>
  </r>
  <r>
    <x v="15"/>
    <x v="134"/>
    <x v="487"/>
  </r>
  <r>
    <x v="15"/>
    <x v="134"/>
    <x v="488"/>
  </r>
  <r>
    <x v="15"/>
    <x v="134"/>
    <x v="489"/>
  </r>
  <r>
    <x v="15"/>
    <x v="135"/>
    <x v="490"/>
  </r>
  <r>
    <x v="15"/>
    <x v="135"/>
    <x v="491"/>
  </r>
  <r>
    <x v="15"/>
    <x v="135"/>
    <x v="492"/>
  </r>
  <r>
    <x v="15"/>
    <x v="135"/>
    <x v="493"/>
  </r>
  <r>
    <x v="15"/>
    <x v="136"/>
    <x v="494"/>
  </r>
  <r>
    <x v="15"/>
    <x v="136"/>
    <x v="495"/>
  </r>
  <r>
    <x v="15"/>
    <x v="137"/>
    <x v="496"/>
  </r>
  <r>
    <x v="15"/>
    <x v="137"/>
    <x v="497"/>
  </r>
  <r>
    <x v="15"/>
    <x v="138"/>
    <x v="498"/>
  </r>
  <r>
    <x v="15"/>
    <x v="138"/>
    <x v="499"/>
  </r>
  <r>
    <x v="15"/>
    <x v="139"/>
    <x v="500"/>
  </r>
  <r>
    <x v="15"/>
    <x v="139"/>
    <x v="501"/>
  </r>
  <r>
    <x v="15"/>
    <x v="140"/>
    <x v="502"/>
  </r>
  <r>
    <x v="15"/>
    <x v="140"/>
    <x v="503"/>
  </r>
  <r>
    <x v="15"/>
    <x v="141"/>
    <x v="504"/>
  </r>
  <r>
    <x v="15"/>
    <x v="141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5"/>
    <x v="512"/>
  </r>
  <r>
    <x v="15"/>
    <x v="145"/>
    <x v="513"/>
  </r>
  <r>
    <x v="15"/>
    <x v="145"/>
    <x v="514"/>
  </r>
  <r>
    <x v="15"/>
    <x v="145"/>
    <x v="515"/>
  </r>
  <r>
    <x v="15"/>
    <x v="145"/>
    <x v="516"/>
  </r>
  <r>
    <x v="15"/>
    <x v="145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7"/>
    <x v="532"/>
  </r>
  <r>
    <x v="15"/>
    <x v="147"/>
    <x v="533"/>
  </r>
  <r>
    <x v="15"/>
    <x v="148"/>
    <x v="534"/>
  </r>
  <r>
    <x v="15"/>
    <x v="148"/>
    <x v="535"/>
  </r>
  <r>
    <x v="16"/>
    <x v="149"/>
    <x v="536"/>
  </r>
  <r>
    <x v="16"/>
    <x v="149"/>
    <x v="537"/>
  </r>
  <r>
    <x v="16"/>
    <x v="149"/>
    <x v="538"/>
  </r>
  <r>
    <x v="16"/>
    <x v="149"/>
    <x v="539"/>
  </r>
  <r>
    <x v="17"/>
    <x v="150"/>
    <x v="540"/>
  </r>
  <r>
    <x v="17"/>
    <x v="150"/>
    <x v="541"/>
  </r>
  <r>
    <x v="17"/>
    <x v="151"/>
    <x v="542"/>
  </r>
  <r>
    <x v="17"/>
    <x v="151"/>
    <x v="543"/>
  </r>
  <r>
    <x v="17"/>
    <x v="152"/>
    <x v="544"/>
  </r>
  <r>
    <x v="17"/>
    <x v="152"/>
    <x v="545"/>
  </r>
  <r>
    <x v="17"/>
    <x v="153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5"/>
    <x v="551"/>
  </r>
  <r>
    <x v="17"/>
    <x v="155"/>
    <x v="552"/>
  </r>
  <r>
    <x v="17"/>
    <x v="156"/>
    <x v="553"/>
  </r>
  <r>
    <x v="17"/>
    <x v="156"/>
    <x v="554"/>
  </r>
  <r>
    <x v="17"/>
    <x v="157"/>
    <x v="555"/>
  </r>
  <r>
    <x v="17"/>
    <x v="157"/>
    <x v="556"/>
  </r>
  <r>
    <x v="18"/>
    <x v="158"/>
    <x v="557"/>
  </r>
  <r>
    <x v="18"/>
    <x v="158"/>
    <x v="558"/>
  </r>
  <r>
    <x v="18"/>
    <x v="158"/>
    <x v="559"/>
  </r>
  <r>
    <x v="18"/>
    <x v="158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9"/>
    <x v="568"/>
  </r>
  <r>
    <x v="18"/>
    <x v="159"/>
    <x v="569"/>
  </r>
  <r>
    <x v="18"/>
    <x v="159"/>
    <x v="570"/>
  </r>
  <r>
    <x v="18"/>
    <x v="159"/>
    <x v="571"/>
  </r>
  <r>
    <x v="18"/>
    <x v="159"/>
    <x v="572"/>
  </r>
  <r>
    <x v="18"/>
    <x v="159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60"/>
    <x v="582"/>
  </r>
  <r>
    <x v="18"/>
    <x v="160"/>
    <x v="583"/>
  </r>
  <r>
    <x v="18"/>
    <x v="160"/>
    <x v="584"/>
  </r>
  <r>
    <x v="18"/>
    <x v="161"/>
    <x v="585"/>
  </r>
  <r>
    <x v="18"/>
    <x v="161"/>
    <x v="586"/>
  </r>
  <r>
    <x v="18"/>
    <x v="161"/>
    <x v="587"/>
  </r>
  <r>
    <x v="18"/>
    <x v="161"/>
    <x v="588"/>
  </r>
  <r>
    <x v="18"/>
    <x v="161"/>
    <x v="589"/>
  </r>
  <r>
    <x v="18"/>
    <x v="161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2"/>
    <x v="596"/>
  </r>
  <r>
    <x v="18"/>
    <x v="162"/>
    <x v="597"/>
  </r>
  <r>
    <x v="18"/>
    <x v="163"/>
    <x v="598"/>
  </r>
  <r>
    <x v="18"/>
    <x v="163"/>
    <x v="599"/>
  </r>
  <r>
    <x v="18"/>
    <x v="164"/>
    <x v="600"/>
  </r>
  <r>
    <x v="18"/>
    <x v="164"/>
    <x v="601"/>
  </r>
  <r>
    <x v="18"/>
    <x v="165"/>
    <x v="602"/>
  </r>
  <r>
    <x v="18"/>
    <x v="165"/>
    <x v="603"/>
  </r>
  <r>
    <x v="18"/>
    <x v="166"/>
    <x v="604"/>
  </r>
  <r>
    <x v="18"/>
    <x v="166"/>
    <x v="605"/>
  </r>
  <r>
    <x v="18"/>
    <x v="167"/>
    <x v="606"/>
  </r>
  <r>
    <x v="18"/>
    <x v="167"/>
    <x v="607"/>
  </r>
  <r>
    <x v="18"/>
    <x v="168"/>
    <x v="608"/>
  </r>
  <r>
    <x v="18"/>
    <x v="168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70"/>
    <x v="630"/>
  </r>
  <r>
    <x v="18"/>
    <x v="170"/>
    <x v="631"/>
  </r>
  <r>
    <x v="18"/>
    <x v="171"/>
    <x v="632"/>
  </r>
  <r>
    <x v="18"/>
    <x v="171"/>
    <x v="633"/>
  </r>
  <r>
    <x v="18"/>
    <x v="172"/>
    <x v="634"/>
  </r>
  <r>
    <x v="18"/>
    <x v="172"/>
    <x v="635"/>
  </r>
  <r>
    <x v="18"/>
    <x v="173"/>
    <x v="636"/>
  </r>
  <r>
    <x v="18"/>
    <x v="173"/>
    <x v="637"/>
  </r>
  <r>
    <x v="18"/>
    <x v="174"/>
    <x v="638"/>
  </r>
  <r>
    <x v="18"/>
    <x v="174"/>
    <x v="639"/>
  </r>
  <r>
    <x v="18"/>
    <x v="175"/>
    <x v="640"/>
  </r>
  <r>
    <x v="18"/>
    <x v="175"/>
    <x v="641"/>
  </r>
  <r>
    <x v="18"/>
    <x v="176"/>
    <x v="642"/>
  </r>
  <r>
    <x v="18"/>
    <x v="176"/>
    <x v="643"/>
  </r>
  <r>
    <x v="18"/>
    <x v="177"/>
    <x v="644"/>
  </r>
  <r>
    <x v="18"/>
    <x v="177"/>
    <x v="645"/>
  </r>
  <r>
    <x v="19"/>
    <x v="178"/>
    <x v="646"/>
  </r>
  <r>
    <x v="19"/>
    <x v="178"/>
    <x v="647"/>
  </r>
  <r>
    <x v="19"/>
    <x v="178"/>
    <x v="648"/>
  </r>
  <r>
    <x v="19"/>
    <x v="179"/>
    <x v="649"/>
  </r>
  <r>
    <x v="19"/>
    <x v="179"/>
    <x v="650"/>
  </r>
  <r>
    <x v="19"/>
    <x v="179"/>
    <x v="651"/>
  </r>
  <r>
    <x v="19"/>
    <x v="180"/>
    <x v="652"/>
  </r>
  <r>
    <x v="19"/>
    <x v="180"/>
    <x v="653"/>
  </r>
  <r>
    <x v="19"/>
    <x v="181"/>
    <x v="654"/>
  </r>
  <r>
    <x v="19"/>
    <x v="181"/>
    <x v="655"/>
  </r>
  <r>
    <x v="19"/>
    <x v="182"/>
    <x v="656"/>
  </r>
  <r>
    <x v="19"/>
    <x v="182"/>
    <x v="657"/>
  </r>
  <r>
    <x v="19"/>
    <x v="183"/>
    <x v="658"/>
  </r>
  <r>
    <x v="19"/>
    <x v="183"/>
    <x v="659"/>
  </r>
  <r>
    <x v="19"/>
    <x v="184"/>
    <x v="660"/>
  </r>
  <r>
    <x v="19"/>
    <x v="184"/>
    <x v="661"/>
  </r>
  <r>
    <x v="19"/>
    <x v="184"/>
    <x v="662"/>
  </r>
  <r>
    <x v="19"/>
    <x v="185"/>
    <x v="663"/>
  </r>
  <r>
    <x v="19"/>
    <x v="185"/>
    <x v="664"/>
  </r>
  <r>
    <x v="19"/>
    <x v="186"/>
    <x v="665"/>
  </r>
  <r>
    <x v="19"/>
    <x v="186"/>
    <x v="666"/>
  </r>
  <r>
    <x v="19"/>
    <x v="187"/>
    <x v="667"/>
  </r>
  <r>
    <x v="19"/>
    <x v="187"/>
    <x v="668"/>
  </r>
  <r>
    <x v="19"/>
    <x v="187"/>
    <x v="669"/>
  </r>
  <r>
    <x v="19"/>
    <x v="187"/>
    <x v="670"/>
  </r>
  <r>
    <x v="19"/>
    <x v="187"/>
    <x v="671"/>
  </r>
  <r>
    <x v="19"/>
    <x v="187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8"/>
    <x v="683"/>
  </r>
  <r>
    <x v="19"/>
    <x v="188"/>
    <x v="684"/>
  </r>
  <r>
    <x v="19"/>
    <x v="188"/>
    <x v="685"/>
  </r>
  <r>
    <x v="19"/>
    <x v="189"/>
    <x v="686"/>
  </r>
  <r>
    <x v="19"/>
    <x v="189"/>
    <x v="687"/>
  </r>
  <r>
    <x v="19"/>
    <x v="190"/>
    <x v="688"/>
  </r>
  <r>
    <x v="19"/>
    <x v="190"/>
    <x v="689"/>
  </r>
  <r>
    <x v="19"/>
    <x v="190"/>
    <x v="690"/>
  </r>
  <r>
    <x v="19"/>
    <x v="191"/>
    <x v="691"/>
  </r>
  <r>
    <x v="19"/>
    <x v="191"/>
    <x v="692"/>
  </r>
  <r>
    <x v="19"/>
    <x v="192"/>
    <x v="693"/>
  </r>
  <r>
    <x v="19"/>
    <x v="192"/>
    <x v="694"/>
  </r>
  <r>
    <x v="19"/>
    <x v="193"/>
    <x v="695"/>
  </r>
  <r>
    <x v="19"/>
    <x v="193"/>
    <x v="696"/>
  </r>
  <r>
    <x v="19"/>
    <x v="194"/>
    <x v="697"/>
  </r>
  <r>
    <x v="19"/>
    <x v="194"/>
    <x v="698"/>
  </r>
  <r>
    <x v="19"/>
    <x v="195"/>
    <x v="699"/>
  </r>
  <r>
    <x v="19"/>
    <x v="195"/>
    <x v="700"/>
  </r>
  <r>
    <x v="19"/>
    <x v="196"/>
    <x v="701"/>
  </r>
  <r>
    <x v="19"/>
    <x v="196"/>
    <x v="702"/>
  </r>
  <r>
    <x v="19"/>
    <x v="197"/>
    <x v="703"/>
  </r>
  <r>
    <x v="19"/>
    <x v="197"/>
    <x v="704"/>
  </r>
  <r>
    <x v="19"/>
    <x v="198"/>
    <x v="705"/>
  </r>
  <r>
    <x v="19"/>
    <x v="198"/>
    <x v="706"/>
  </r>
  <r>
    <x v="20"/>
    <x v="199"/>
    <x v="707"/>
  </r>
  <r>
    <x v="20"/>
    <x v="199"/>
    <x v="708"/>
  </r>
  <r>
    <x v="20"/>
    <x v="200"/>
    <x v="709"/>
  </r>
  <r>
    <x v="20"/>
    <x v="200"/>
    <x v="710"/>
  </r>
  <r>
    <x v="20"/>
    <x v="201"/>
    <x v="711"/>
  </r>
  <r>
    <x v="20"/>
    <x v="201"/>
    <x v="712"/>
  </r>
  <r>
    <x v="20"/>
    <x v="202"/>
    <x v="713"/>
  </r>
  <r>
    <x v="20"/>
    <x v="202"/>
    <x v="714"/>
  </r>
  <r>
    <x v="20"/>
    <x v="203"/>
    <x v="715"/>
  </r>
  <r>
    <x v="20"/>
    <x v="203"/>
    <x v="716"/>
  </r>
  <r>
    <x v="20"/>
    <x v="204"/>
    <x v="717"/>
  </r>
  <r>
    <x v="20"/>
    <x v="204"/>
    <x v="718"/>
  </r>
  <r>
    <x v="20"/>
    <x v="205"/>
    <x v="719"/>
  </r>
  <r>
    <x v="20"/>
    <x v="205"/>
    <x v="720"/>
  </r>
  <r>
    <x v="20"/>
    <x v="206"/>
    <x v="721"/>
  </r>
  <r>
    <x v="20"/>
    <x v="206"/>
    <x v="722"/>
  </r>
  <r>
    <x v="20"/>
    <x v="207"/>
    <x v="723"/>
  </r>
  <r>
    <x v="20"/>
    <x v="207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9"/>
    <x v="747"/>
  </r>
  <r>
    <x v="21"/>
    <x v="209"/>
    <x v="748"/>
  </r>
  <r>
    <x v="21"/>
    <x v="210"/>
    <x v="749"/>
  </r>
  <r>
    <x v="21"/>
    <x v="210"/>
    <x v="750"/>
  </r>
  <r>
    <x v="21"/>
    <x v="211"/>
    <x v="751"/>
  </r>
  <r>
    <x v="21"/>
    <x v="211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3"/>
    <x v="758"/>
  </r>
  <r>
    <x v="22"/>
    <x v="213"/>
    <x v="759"/>
  </r>
  <r>
    <x v="22"/>
    <x v="214"/>
    <x v="760"/>
  </r>
  <r>
    <x v="22"/>
    <x v="214"/>
    <x v="761"/>
  </r>
  <r>
    <x v="22"/>
    <x v="215"/>
    <x v="762"/>
  </r>
  <r>
    <x v="22"/>
    <x v="215"/>
    <x v="763"/>
  </r>
  <r>
    <x v="22"/>
    <x v="215"/>
    <x v="764"/>
  </r>
  <r>
    <x v="22"/>
    <x v="215"/>
    <x v="765"/>
  </r>
  <r>
    <x v="22"/>
    <x v="215"/>
    <x v="766"/>
  </r>
  <r>
    <x v="22"/>
    <x v="216"/>
    <x v="767"/>
  </r>
  <r>
    <x v="22"/>
    <x v="216"/>
    <x v="768"/>
  </r>
  <r>
    <x v="22"/>
    <x v="217"/>
    <x v="769"/>
  </r>
  <r>
    <x v="22"/>
    <x v="217"/>
    <x v="770"/>
  </r>
  <r>
    <x v="22"/>
    <x v="217"/>
    <x v="771"/>
  </r>
  <r>
    <x v="22"/>
    <x v="218"/>
    <x v="772"/>
  </r>
  <r>
    <x v="22"/>
    <x v="218"/>
    <x v="773"/>
  </r>
  <r>
    <x v="22"/>
    <x v="219"/>
    <x v="774"/>
  </r>
  <r>
    <x v="22"/>
    <x v="219"/>
    <x v="775"/>
  </r>
  <r>
    <x v="22"/>
    <x v="220"/>
    <x v="776"/>
  </r>
  <r>
    <x v="22"/>
    <x v="220"/>
    <x v="777"/>
  </r>
  <r>
    <x v="22"/>
    <x v="220"/>
    <x v="778"/>
  </r>
  <r>
    <x v="22"/>
    <x v="220"/>
    <x v="779"/>
  </r>
  <r>
    <x v="22"/>
    <x v="220"/>
    <x v="780"/>
  </r>
  <r>
    <x v="22"/>
    <x v="221"/>
    <x v="781"/>
  </r>
  <r>
    <x v="22"/>
    <x v="221"/>
    <x v="782"/>
  </r>
  <r>
    <x v="22"/>
    <x v="221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3"/>
    <x v="797"/>
  </r>
  <r>
    <x v="22"/>
    <x v="223"/>
    <x v="798"/>
  </r>
  <r>
    <x v="22"/>
    <x v="224"/>
    <x v="799"/>
  </r>
  <r>
    <x v="22"/>
    <x v="224"/>
    <x v="800"/>
  </r>
  <r>
    <x v="22"/>
    <x v="225"/>
    <x v="801"/>
  </r>
  <r>
    <x v="22"/>
    <x v="225"/>
    <x v="802"/>
  </r>
  <r>
    <x v="22"/>
    <x v="226"/>
    <x v="803"/>
  </r>
  <r>
    <x v="22"/>
    <x v="226"/>
    <x v="804"/>
  </r>
  <r>
    <x v="22"/>
    <x v="226"/>
    <x v="805"/>
  </r>
  <r>
    <x v="22"/>
    <x v="226"/>
    <x v="806"/>
  </r>
  <r>
    <x v="22"/>
    <x v="226"/>
    <x v="807"/>
  </r>
  <r>
    <x v="22"/>
    <x v="226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7"/>
    <x v="816"/>
  </r>
  <r>
    <x v="22"/>
    <x v="227"/>
    <x v="817"/>
  </r>
  <r>
    <x v="22"/>
    <x v="227"/>
    <x v="818"/>
  </r>
  <r>
    <x v="22"/>
    <x v="227"/>
    <x v="819"/>
  </r>
  <r>
    <x v="22"/>
    <x v="227"/>
    <x v="820"/>
  </r>
  <r>
    <x v="22"/>
    <x v="227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8"/>
    <x v="889"/>
  </r>
  <r>
    <x v="22"/>
    <x v="228"/>
    <x v="890"/>
  </r>
  <r>
    <x v="22"/>
    <x v="228"/>
    <x v="891"/>
  </r>
  <r>
    <x v="22"/>
    <x v="229"/>
    <x v="892"/>
  </r>
  <r>
    <x v="22"/>
    <x v="229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1"/>
    <x v="907"/>
  </r>
  <r>
    <x v="22"/>
    <x v="231"/>
    <x v="908"/>
  </r>
  <r>
    <x v="22"/>
    <x v="232"/>
    <x v="909"/>
  </r>
  <r>
    <x v="22"/>
    <x v="232"/>
    <x v="910"/>
  </r>
  <r>
    <x v="22"/>
    <x v="232"/>
    <x v="911"/>
  </r>
  <r>
    <x v="22"/>
    <x v="232"/>
    <x v="912"/>
  </r>
  <r>
    <x v="22"/>
    <x v="232"/>
    <x v="913"/>
  </r>
  <r>
    <x v="22"/>
    <x v="232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3"/>
    <x v="922"/>
  </r>
  <r>
    <x v="22"/>
    <x v="233"/>
    <x v="923"/>
  </r>
  <r>
    <x v="22"/>
    <x v="234"/>
    <x v="924"/>
  </r>
  <r>
    <x v="22"/>
    <x v="234"/>
    <x v="925"/>
  </r>
  <r>
    <x v="22"/>
    <x v="235"/>
    <x v="926"/>
  </r>
  <r>
    <x v="22"/>
    <x v="235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39"/>
    <x v="937"/>
  </r>
  <r>
    <x v="22"/>
    <x v="239"/>
    <x v="938"/>
  </r>
  <r>
    <x v="22"/>
    <x v="239"/>
    <x v="939"/>
  </r>
  <r>
    <x v="22"/>
    <x v="240"/>
    <x v="940"/>
  </r>
  <r>
    <x v="22"/>
    <x v="240"/>
    <x v="941"/>
  </r>
  <r>
    <x v="22"/>
    <x v="241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3"/>
    <x v="947"/>
  </r>
  <r>
    <x v="22"/>
    <x v="243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7"/>
    <x v="956"/>
  </r>
  <r>
    <x v="22"/>
    <x v="247"/>
    <x v="957"/>
  </r>
  <r>
    <x v="22"/>
    <x v="247"/>
    <x v="958"/>
  </r>
  <r>
    <x v="22"/>
    <x v="248"/>
    <x v="959"/>
  </r>
  <r>
    <x v="22"/>
    <x v="248"/>
    <x v="960"/>
  </r>
  <r>
    <x v="22"/>
    <x v="249"/>
    <x v="961"/>
  </r>
  <r>
    <x v="22"/>
    <x v="249"/>
    <x v="962"/>
  </r>
  <r>
    <x v="22"/>
    <x v="250"/>
    <x v="963"/>
  </r>
  <r>
    <x v="22"/>
    <x v="250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2"/>
    <x v="1038"/>
  </r>
  <r>
    <x v="22"/>
    <x v="252"/>
    <x v="1039"/>
  </r>
  <r>
    <x v="22"/>
    <x v="252"/>
    <x v="1040"/>
  </r>
  <r>
    <x v="22"/>
    <x v="252"/>
    <x v="1041"/>
  </r>
  <r>
    <x v="22"/>
    <x v="252"/>
    <x v="1042"/>
  </r>
  <r>
    <x v="22"/>
    <x v="252"/>
    <x v="1043"/>
  </r>
  <r>
    <x v="22"/>
    <x v="252"/>
    <x v="1044"/>
  </r>
  <r>
    <x v="22"/>
    <x v="252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3"/>
    <x v="1051"/>
  </r>
  <r>
    <x v="22"/>
    <x v="253"/>
    <x v="1052"/>
  </r>
  <r>
    <x v="22"/>
    <x v="254"/>
    <x v="1053"/>
  </r>
  <r>
    <x v="22"/>
    <x v="254"/>
    <x v="1054"/>
  </r>
  <r>
    <x v="22"/>
    <x v="255"/>
    <x v="1055"/>
  </r>
  <r>
    <x v="22"/>
    <x v="255"/>
    <x v="1056"/>
  </r>
  <r>
    <x v="22"/>
    <x v="256"/>
    <x v="1057"/>
  </r>
  <r>
    <x v="22"/>
    <x v="256"/>
    <x v="1058"/>
  </r>
  <r>
    <x v="22"/>
    <x v="257"/>
    <x v="1059"/>
  </r>
  <r>
    <x v="22"/>
    <x v="257"/>
    <x v="1060"/>
  </r>
  <r>
    <x v="22"/>
    <x v="257"/>
    <x v="1061"/>
  </r>
  <r>
    <x v="22"/>
    <x v="258"/>
    <x v="1062"/>
  </r>
  <r>
    <x v="22"/>
    <x v="258"/>
    <x v="1063"/>
  </r>
  <r>
    <x v="22"/>
    <x v="258"/>
    <x v="1064"/>
  </r>
  <r>
    <x v="22"/>
    <x v="259"/>
    <x v="1065"/>
  </r>
  <r>
    <x v="22"/>
    <x v="259"/>
    <x v="1066"/>
  </r>
  <r>
    <x v="22"/>
    <x v="260"/>
    <x v="1067"/>
  </r>
  <r>
    <x v="22"/>
    <x v="260"/>
    <x v="1068"/>
  </r>
  <r>
    <x v="22"/>
    <x v="260"/>
    <x v="1069"/>
  </r>
  <r>
    <x v="22"/>
    <x v="261"/>
    <x v="1070"/>
  </r>
  <r>
    <x v="22"/>
    <x v="261"/>
    <x v="1071"/>
  </r>
  <r>
    <x v="22"/>
    <x v="261"/>
    <x v="1072"/>
  </r>
  <r>
    <x v="22"/>
    <x v="262"/>
    <x v="1073"/>
  </r>
  <r>
    <x v="22"/>
    <x v="262"/>
    <x v="1074"/>
  </r>
  <r>
    <x v="22"/>
    <x v="263"/>
    <x v="1075"/>
  </r>
  <r>
    <x v="22"/>
    <x v="263"/>
    <x v="1076"/>
  </r>
  <r>
    <x v="22"/>
    <x v="263"/>
    <x v="1077"/>
  </r>
  <r>
    <x v="22"/>
    <x v="264"/>
    <x v="1078"/>
  </r>
  <r>
    <x v="22"/>
    <x v="264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5"/>
    <x v="1086"/>
  </r>
  <r>
    <x v="22"/>
    <x v="265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7"/>
    <x v="1095"/>
  </r>
  <r>
    <x v="22"/>
    <x v="267"/>
    <x v="1096"/>
  </r>
  <r>
    <x v="22"/>
    <x v="268"/>
    <x v="1097"/>
  </r>
  <r>
    <x v="22"/>
    <x v="268"/>
    <x v="1098"/>
  </r>
  <r>
    <x v="22"/>
    <x v="268"/>
    <x v="1099"/>
  </r>
  <r>
    <x v="22"/>
    <x v="269"/>
    <x v="1100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6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3"/>
    <x v="276"/>
    <x v="1122"/>
  </r>
  <r>
    <x v="23"/>
    <x v="276"/>
    <x v="1123"/>
  </r>
  <r>
    <x v="23"/>
    <x v="276"/>
    <x v="1124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2"/>
        <item x="199"/>
        <item m="1" x="279"/>
        <item x="213"/>
        <item x="214"/>
        <item x="215"/>
        <item x="216"/>
        <item x="217"/>
        <item x="218"/>
        <item x="219"/>
        <item x="220"/>
        <item x="45"/>
        <item x="7"/>
        <item m="1" x="310"/>
        <item m="1" x="322"/>
        <item x="221"/>
        <item x="8"/>
        <item x="271"/>
        <item x="67"/>
        <item x="68"/>
        <item x="69"/>
        <item x="34"/>
        <item x="125"/>
        <item x="132"/>
        <item x="1"/>
        <item x="178"/>
        <item m="1" x="374"/>
        <item x="46"/>
        <item m="1" x="278"/>
        <item x="9"/>
        <item x="47"/>
        <item m="1" x="280"/>
        <item m="1" x="281"/>
        <item x="70"/>
        <item x="179"/>
        <item x="180"/>
        <item x="181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3"/>
        <item x="134"/>
        <item x="126"/>
        <item m="1" x="283"/>
        <item x="182"/>
        <item x="72"/>
        <item m="1" x="340"/>
        <item x="127"/>
        <item sd="0" x="222"/>
        <item x="150"/>
        <item x="73"/>
        <item m="1" x="369"/>
        <item x="51"/>
        <item x="52"/>
        <item x="158"/>
        <item x="200"/>
        <item x="223"/>
        <item m="1" x="336"/>
        <item x="224"/>
        <item x="225"/>
        <item m="1" x="380"/>
        <item x="226"/>
        <item m="1" x="312"/>
        <item x="183"/>
        <item m="1" x="349"/>
        <item x="184"/>
        <item m="1" x="357"/>
        <item x="159"/>
        <item m="1" x="309"/>
        <item m="1" x="353"/>
        <item x="160"/>
        <item x="74"/>
        <item x="75"/>
        <item x="227"/>
        <item x="161"/>
        <item x="228"/>
        <item x="11"/>
        <item x="76"/>
        <item m="1" x="284"/>
        <item x="272"/>
        <item m="1" x="350"/>
        <item x="229"/>
        <item x="53"/>
        <item x="12"/>
        <item x="77"/>
        <item m="1" x="317"/>
        <item x="230"/>
        <item x="135"/>
        <item x="231"/>
        <item x="162"/>
        <item m="1" x="332"/>
        <item x="78"/>
        <item x="79"/>
        <item m="1" x="285"/>
        <item m="1" x="347"/>
        <item x="54"/>
        <item x="185"/>
        <item x="232"/>
        <item x="233"/>
        <item x="234"/>
        <item x="36"/>
        <item x="80"/>
        <item x="201"/>
        <item x="37"/>
        <item x="81"/>
        <item x="38"/>
        <item x="39"/>
        <item x="273"/>
        <item x="82"/>
        <item m="1" x="381"/>
        <item m="1" x="376"/>
        <item x="202"/>
        <item x="235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3"/>
        <item x="163"/>
        <item x="149"/>
        <item m="1" x="277"/>
        <item x="86"/>
        <item x="87"/>
        <item m="1" x="344"/>
        <item x="186"/>
        <item x="187"/>
        <item x="88"/>
        <item x="42"/>
        <item x="89"/>
        <item m="1" x="287"/>
        <item x="90"/>
        <item m="1" x="315"/>
        <item m="1" x="378"/>
        <item x="236"/>
        <item m="1" x="320"/>
        <item m="1" x="335"/>
        <item x="91"/>
        <item x="55"/>
        <item x="151"/>
        <item x="92"/>
        <item m="1" x="288"/>
        <item x="15"/>
        <item x="16"/>
        <item x="17"/>
        <item m="1" x="313"/>
        <item x="64"/>
        <item x="164"/>
        <item x="237"/>
        <item x="18"/>
        <item x="238"/>
        <item x="239"/>
        <item m="1" x="348"/>
        <item m="1" x="289"/>
        <item x="56"/>
        <item m="1" x="373"/>
        <item x="240"/>
        <item m="1" x="319"/>
        <item x="93"/>
        <item x="94"/>
        <item m="1" x="290"/>
        <item m="1" x="291"/>
        <item x="136"/>
        <item m="1" x="292"/>
        <item x="241"/>
        <item x="242"/>
        <item m="1" x="341"/>
        <item m="1" x="361"/>
        <item x="243"/>
        <item m="1" x="318"/>
        <item x="165"/>
        <item x="19"/>
        <item m="1" x="351"/>
        <item x="204"/>
        <item x="188"/>
        <item x="2"/>
        <item m="1" x="293"/>
        <item x="57"/>
        <item x="58"/>
        <item m="1" x="321"/>
        <item m="1" x="323"/>
        <item m="1" x="364"/>
        <item x="208"/>
        <item m="1" x="294"/>
        <item x="137"/>
        <item x="244"/>
        <item m="1" x="295"/>
        <item m="1" x="296"/>
        <item x="128"/>
        <item x="245"/>
        <item x="246"/>
        <item x="59"/>
        <item m="1" x="334"/>
        <item m="1" x="358"/>
        <item x="138"/>
        <item x="247"/>
        <item m="1" x="297"/>
        <item x="139"/>
        <item x="209"/>
        <item x="189"/>
        <item x="210"/>
        <item x="190"/>
        <item x="95"/>
        <item m="1" x="308"/>
        <item x="140"/>
        <item x="96"/>
        <item x="248"/>
        <item x="97"/>
        <item m="1" x="339"/>
        <item m="1" x="343"/>
        <item x="60"/>
        <item x="65"/>
        <item m="1" x="375"/>
        <item x="98"/>
        <item x="99"/>
        <item x="3"/>
        <item x="152"/>
        <item x="153"/>
        <item x="154"/>
        <item x="155"/>
        <item x="191"/>
        <item x="205"/>
        <item x="20"/>
        <item x="249"/>
        <item x="166"/>
        <item x="167"/>
        <item m="1" x="330"/>
        <item x="100"/>
        <item m="1" x="314"/>
        <item x="141"/>
        <item x="192"/>
        <item x="211"/>
        <item m="1" x="325"/>
        <item x="250"/>
        <item x="101"/>
        <item x="193"/>
        <item x="274"/>
        <item x="102"/>
        <item m="1" x="337"/>
        <item x="168"/>
        <item x="103"/>
        <item x="275"/>
        <item x="104"/>
        <item x="142"/>
        <item x="143"/>
        <item x="144"/>
        <item m="1" x="372"/>
        <item x="251"/>
        <item x="105"/>
        <item x="21"/>
        <item x="252"/>
        <item m="1" x="366"/>
        <item m="1" x="298"/>
        <item m="1" x="367"/>
        <item x="276"/>
        <item m="1" x="355"/>
        <item x="22"/>
        <item m="1" x="370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6"/>
        <item m="1" x="299"/>
        <item x="253"/>
        <item m="1" x="300"/>
        <item m="1" x="301"/>
        <item x="254"/>
        <item x="43"/>
        <item x="148"/>
        <item x="4"/>
        <item x="44"/>
        <item x="255"/>
        <item x="61"/>
        <item x="107"/>
        <item x="26"/>
        <item x="66"/>
        <item x="156"/>
        <item m="1" x="368"/>
        <item x="108"/>
        <item x="174"/>
        <item m="1" x="333"/>
        <item x="27"/>
        <item x="256"/>
        <item x="207"/>
        <item x="109"/>
        <item x="110"/>
        <item x="257"/>
        <item x="5"/>
        <item m="1" x="363"/>
        <item m="1" x="346"/>
        <item x="111"/>
        <item x="112"/>
        <item m="1" x="354"/>
        <item m="1" x="371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2"/>
        <item x="116"/>
        <item x="157"/>
        <item m="1" x="303"/>
        <item x="177"/>
        <item x="117"/>
        <item x="118"/>
        <item m="1" x="360"/>
        <item x="259"/>
        <item x="41"/>
        <item m="1" x="331"/>
        <item x="119"/>
        <item m="1" x="304"/>
        <item x="260"/>
        <item m="1" x="327"/>
        <item m="1" x="324"/>
        <item x="32"/>
        <item x="33"/>
        <item x="261"/>
        <item m="1" x="342"/>
        <item x="262"/>
        <item x="120"/>
        <item x="121"/>
        <item m="1" x="338"/>
        <item x="122"/>
        <item m="1" x="305"/>
        <item x="263"/>
        <item m="1" x="306"/>
        <item m="1" x="326"/>
        <item x="123"/>
        <item m="1" x="307"/>
        <item x="195"/>
        <item m="1" x="328"/>
        <item x="264"/>
        <item x="265"/>
        <item x="196"/>
        <item x="266"/>
        <item x="6"/>
        <item x="197"/>
        <item m="1" x="359"/>
        <item m="1" x="365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7"/>
        <item x="708"/>
        <item m="1" x="1138"/>
        <item x="760"/>
        <item x="762"/>
        <item x="761"/>
        <item x="763"/>
        <item x="764"/>
        <item x="776"/>
        <item x="777"/>
        <item x="172"/>
        <item x="50"/>
        <item x="51"/>
        <item x="52"/>
        <item m="1" x="1305"/>
        <item x="230"/>
        <item x="53"/>
        <item x="778"/>
        <item x="234"/>
        <item x="781"/>
        <item x="425"/>
        <item x="54"/>
        <item m="1" x="1141"/>
        <item m="1" x="1127"/>
        <item m="1" x="1218"/>
        <item m="1" x="1145"/>
        <item x="75"/>
        <item x="219"/>
        <item x="217"/>
        <item m="1" x="1297"/>
        <item x="486"/>
        <item m="1" x="1147"/>
        <item x="428"/>
        <item x="430"/>
        <item m="1" x="1399"/>
        <item x="241"/>
        <item m="1" x="1521"/>
        <item x="784"/>
        <item x="540"/>
        <item x="557"/>
        <item x="797"/>
        <item x="709"/>
        <item m="1" x="1280"/>
        <item x="803"/>
        <item m="1" x="1219"/>
        <item x="816"/>
        <item x="248"/>
        <item m="1" x="1405"/>
        <item x="585"/>
        <item x="246"/>
        <item m="1" x="1376"/>
        <item m="1" x="1245"/>
        <item m="1" x="1353"/>
        <item x="596"/>
        <item x="490"/>
        <item x="257"/>
        <item m="1" x="1152"/>
        <item m="1" x="1535"/>
        <item m="1" x="1264"/>
        <item x="782"/>
        <item x="78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4"/>
        <item x="1105"/>
        <item x="1107"/>
        <item x="1108"/>
        <item m="1" x="1140"/>
        <item x="235"/>
        <item x="426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7"/>
        <item x="488"/>
        <item x="489"/>
        <item x="429"/>
        <item m="1" x="1148"/>
        <item x="242"/>
        <item m="1" x="1505"/>
        <item x="431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541"/>
        <item m="1" x="1355"/>
        <item x="186"/>
        <item x="558"/>
        <item x="559"/>
        <item x="560"/>
        <item x="561"/>
        <item x="562"/>
        <item x="563"/>
        <item x="564"/>
        <item x="565"/>
        <item x="566"/>
        <item x="567"/>
        <item x="710"/>
        <item x="81"/>
        <item x="798"/>
        <item m="1" x="1310"/>
        <item m="1" x="1545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4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m="1" x="1406"/>
        <item m="1" x="1303"/>
        <item m="1" x="1289"/>
        <item x="82"/>
        <item x="83"/>
        <item m="1" x="1246"/>
        <item x="491"/>
        <item x="492"/>
        <item x="493"/>
        <item x="597"/>
        <item m="1" x="1484"/>
        <item x="258"/>
        <item m="1" x="1153"/>
        <item x="1109"/>
        <item x="1112"/>
        <item x="191"/>
        <item x="925"/>
        <item x="261"/>
        <item m="1" x="1366"/>
        <item x="711"/>
        <item x="926"/>
        <item m="1" x="1390"/>
        <item x="1113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4"/>
        <item x="1115"/>
        <item m="1" x="1443"/>
        <item m="1" x="1323"/>
        <item x="713"/>
        <item x="714"/>
        <item x="927"/>
        <item x="84"/>
        <item x="712"/>
        <item x="715"/>
        <item x="85"/>
        <item x="86"/>
        <item x="598"/>
        <item m="1" x="1312"/>
        <item m="1" x="1311"/>
        <item m="1" x="1537"/>
        <item m="1" x="1438"/>
        <item m="1" x="1553"/>
        <item m="1" x="1316"/>
        <item x="716"/>
        <item x="599"/>
        <item x="281"/>
        <item x="282"/>
        <item x="285"/>
        <item x="289"/>
        <item x="166"/>
        <item x="283"/>
        <item m="1" x="1239"/>
        <item x="284"/>
        <item x="167"/>
        <item x="287"/>
        <item x="290"/>
        <item x="291"/>
        <item x="288"/>
        <item m="1" x="1240"/>
        <item m="1" x="1256"/>
        <item m="1" x="1258"/>
        <item m="1" x="1511"/>
        <item m="1" x="1232"/>
        <item x="931"/>
        <item x="221"/>
        <item x="542"/>
        <item x="295"/>
        <item x="297"/>
        <item x="89"/>
        <item x="91"/>
        <item x="93"/>
        <item x="929"/>
        <item x="933"/>
        <item m="1" x="1284"/>
        <item x="95"/>
        <item x="940"/>
        <item x="299"/>
        <item x="543"/>
        <item m="1" x="1513"/>
        <item m="1" x="1272"/>
        <item m="1" x="1259"/>
        <item x="90"/>
        <item x="92"/>
        <item x="94"/>
        <item m="1" x="1233"/>
        <item x="222"/>
        <item x="930"/>
        <item x="96"/>
        <item x="932"/>
        <item x="934"/>
        <item x="935"/>
        <item x="936"/>
        <item x="937"/>
        <item x="938"/>
        <item x="939"/>
        <item m="1" x="1421"/>
        <item m="1" x="1512"/>
        <item x="941"/>
        <item m="1" x="1396"/>
        <item x="494"/>
        <item m="1" x="1389"/>
        <item m="1" x="1373"/>
        <item m="1" x="1274"/>
        <item m="1" x="1348"/>
        <item x="495"/>
        <item x="747"/>
        <item m="1" x="1541"/>
        <item m="1" x="1496"/>
        <item x="602"/>
        <item x="97"/>
        <item m="1" x="1401"/>
        <item x="717"/>
        <item m="1" x="1304"/>
        <item m="1" x="1552"/>
        <item m="1" x="1433"/>
        <item m="1" x="1352"/>
        <item x="727"/>
        <item x="726"/>
        <item x="729"/>
        <item x="728"/>
        <item x="731"/>
        <item x="733"/>
        <item x="735"/>
        <item x="737"/>
        <item x="739"/>
        <item x="741"/>
        <item x="743"/>
        <item x="603"/>
        <item m="1" x="1181"/>
        <item x="953"/>
        <item x="954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18"/>
        <item m="1" x="1459"/>
        <item m="1" x="1488"/>
        <item x="955"/>
        <item x="748"/>
        <item m="1" x="1208"/>
        <item x="502"/>
        <item x="959"/>
        <item x="311"/>
        <item x="960"/>
        <item m="1" x="1209"/>
        <item x="312"/>
        <item x="503"/>
        <item x="544"/>
        <item x="546"/>
        <item x="547"/>
        <item x="549"/>
        <item x="551"/>
        <item x="550"/>
        <item x="545"/>
        <item x="552"/>
        <item x="548"/>
        <item x="719"/>
        <item x="961"/>
        <item x="504"/>
        <item x="720"/>
        <item x="962"/>
        <item x="751"/>
        <item x="505"/>
        <item x="752"/>
        <item x="963"/>
        <item x="964"/>
        <item x="1116"/>
        <item x="1117"/>
        <item x="109"/>
        <item m="1" x="1365"/>
        <item x="506"/>
        <item x="508"/>
        <item x="510"/>
        <item m="1" x="1363"/>
        <item x="965"/>
        <item x="325"/>
        <item m="1" x="1253"/>
        <item x="608"/>
        <item x="609"/>
        <item x="327"/>
        <item x="326"/>
        <item x="507"/>
        <item x="509"/>
        <item x="511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328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5"/>
        <item x="437"/>
        <item x="439"/>
        <item m="1" x="1189"/>
        <item x="512"/>
        <item x="513"/>
        <item m="1" x="1306"/>
        <item m="1" x="1529"/>
        <item m="1" x="1445"/>
        <item m="1" x="1275"/>
        <item m="1" x="1392"/>
        <item m="1" x="1536"/>
        <item m="1" x="1549"/>
        <item m="1" x="1321"/>
        <item x="522"/>
        <item x="523"/>
        <item m="1" x="1295"/>
        <item m="1" x="1319"/>
        <item m="1" x="1293"/>
        <item m="1" x="1470"/>
        <item m="1" x="1333"/>
        <item m="1" x="1457"/>
        <item m="1" x="1342"/>
        <item m="1" x="1327"/>
        <item x="525"/>
        <item x="526"/>
        <item x="527"/>
        <item x="528"/>
        <item x="529"/>
        <item x="530"/>
        <item x="515"/>
        <item x="516"/>
        <item x="517"/>
        <item x="518"/>
        <item x="519"/>
        <item x="520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6"/>
        <item x="438"/>
        <item x="440"/>
        <item x="113"/>
        <item x="630"/>
        <item x="532"/>
        <item x="1051"/>
        <item x="114"/>
        <item x="631"/>
        <item x="721"/>
        <item x="329"/>
        <item x="533"/>
        <item x="330"/>
        <item x="521"/>
        <item x="531"/>
        <item m="1" x="1523"/>
        <item x="115"/>
        <item x="636"/>
        <item x="634"/>
        <item x="632"/>
        <item x="722"/>
        <item x="117"/>
        <item x="116"/>
        <item x="118"/>
        <item x="633"/>
        <item x="635"/>
        <item x="637"/>
        <item m="1" x="1190"/>
        <item x="1052"/>
        <item m="1" x="1362"/>
        <item x="119"/>
        <item x="723"/>
        <item x="120"/>
        <item x="225"/>
        <item x="553"/>
        <item m="1" x="1335"/>
        <item x="335"/>
        <item x="226"/>
        <item x="554"/>
        <item m="1" x="1462"/>
        <item m="1" x="1437"/>
        <item m="1" x="1478"/>
        <item m="1" x="1456"/>
        <item m="1" x="1262"/>
        <item m="1" x="1422"/>
        <item m="1" x="1480"/>
        <item m="1" x="1444"/>
        <item x="336"/>
        <item m="1" x="1317"/>
        <item x="724"/>
        <item x="339"/>
        <item x="340"/>
        <item x="341"/>
        <item x="46"/>
        <item m="1" x="1493"/>
        <item m="1" x="1500"/>
        <item m="1" x="1418"/>
        <item m="1" x="1294"/>
        <item m="1" x="1364"/>
        <item m="1" x="1367"/>
        <item m="1" x="1377"/>
        <item x="1065"/>
        <item x="1062"/>
        <item x="129"/>
        <item m="1" x="1361"/>
        <item m="1" x="1420"/>
        <item x="130"/>
        <item x="47"/>
        <item m="1" x="1380"/>
        <item x="1066"/>
        <item m="1" x="1356"/>
        <item m="1" x="1286"/>
        <item x="1070"/>
        <item x="1075"/>
        <item m="1" x="1270"/>
        <item m="1" x="1491"/>
        <item m="1" x="1302"/>
        <item m="1" x="1307"/>
        <item m="1" x="1450"/>
        <item m="1" x="1393"/>
        <item m="1" x="1428"/>
        <item x="1071"/>
        <item x="1072"/>
        <item m="1" x="1341"/>
        <item m="1" x="1350"/>
        <item x="1076"/>
        <item x="1077"/>
        <item m="1" x="1204"/>
        <item m="1" x="1278"/>
        <item m="1" x="1482"/>
        <item m="1" x="1497"/>
        <item m="1" x="1205"/>
        <item m="1" x="1534"/>
        <item x="48"/>
        <item x="1093"/>
        <item x="1094"/>
        <item x="1102"/>
        <item m="1" x="1467"/>
        <item x="49"/>
        <item m="1" x="1299"/>
        <item x="1103"/>
        <item x="422"/>
        <item x="705"/>
        <item x="706"/>
        <item x="423"/>
        <item x="424"/>
        <item x="0"/>
        <item m="1" x="1446"/>
        <item m="1" x="1298"/>
        <item m="1" x="1374"/>
        <item x="730"/>
        <item n="Frac of Pol Impl This Yr - 2 - NDC.xlsx" m="1" x="1425"/>
        <item m="1" x="1387"/>
        <item x="656"/>
        <item x="657"/>
        <item m="1" x="1394"/>
        <item m="1" x="1283"/>
        <item m="1" x="1166"/>
        <item m="1" x="1167"/>
        <item m="1" x="1183"/>
        <item m="1" x="1184"/>
        <item x="536"/>
        <item x="537"/>
        <item x="538"/>
        <item x="539"/>
        <item x="611"/>
        <item x="614"/>
        <item x="615"/>
        <item x="616"/>
        <item x="617"/>
        <item x="618"/>
        <item x="619"/>
        <item m="1" x="1290"/>
        <item x="620"/>
        <item x="621"/>
        <item m="1" x="1308"/>
        <item m="1" x="1485"/>
        <item x="627"/>
        <item x="628"/>
        <item x="629"/>
        <item x="1063"/>
        <item x="1064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69"/>
        <item x="770"/>
        <item x="771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6"/>
        <item x="298"/>
        <item x="374"/>
        <item x="375"/>
        <item x="376"/>
        <item x="377"/>
        <item m="1" x="1315"/>
        <item x="310"/>
        <item x="433"/>
        <item x="434"/>
        <item x="534"/>
        <item x="535"/>
        <item m="1" x="1498"/>
        <item m="1" x="1475"/>
        <item m="1" x="1502"/>
        <item m="1" x="1369"/>
        <item m="1" x="1460"/>
        <item x="652"/>
        <item x="653"/>
        <item x="654"/>
        <item x="655"/>
        <item x="658"/>
        <item x="659"/>
        <item m="1" x="1435"/>
        <item m="1" x="1447"/>
        <item x="663"/>
        <item x="664"/>
        <item m="1" x="1266"/>
        <item m="1" x="1386"/>
        <item x="665"/>
        <item x="666"/>
        <item m="1" x="1526"/>
        <item m="1" x="1282"/>
        <item m="1" x="1281"/>
        <item m="1" x="1378"/>
        <item m="1" x="1426"/>
        <item m="1" x="1548"/>
        <item x="695"/>
        <item x="696"/>
        <item x="699"/>
        <item x="700"/>
        <item x="701"/>
        <item x="702"/>
        <item x="945"/>
        <item x="946"/>
        <item x="1055"/>
        <item x="1056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1"/>
        <item x="442"/>
        <item x="443"/>
        <item m="1" x="1503"/>
        <item m="1" x="1313"/>
        <item m="1" x="1211"/>
        <item m="1" x="1212"/>
        <item m="1" x="1213"/>
        <item m="1" x="1214"/>
        <item x="693"/>
        <item x="694"/>
        <item x="697"/>
        <item x="698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0"/>
        <item x="641"/>
        <item x="683"/>
        <item x="684"/>
        <item m="1" x="1419"/>
        <item x="947"/>
        <item x="948"/>
        <item x="131"/>
        <item x="132"/>
        <item x="309"/>
        <item m="1" x="1185"/>
        <item x="555"/>
        <item x="556"/>
        <item m="1" x="1501"/>
        <item m="1" x="1442"/>
        <item m="1" x="1268"/>
        <item m="1" x="1436"/>
        <item x="600"/>
        <item x="601"/>
        <item x="642"/>
        <item x="643"/>
        <item x="644"/>
        <item x="645"/>
        <item x="691"/>
        <item x="692"/>
        <item x="685"/>
        <item x="688"/>
        <item x="689"/>
        <item x="690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4"/>
        <item n="Frac of Pol Impl This Yr - 3 - Example Scenario.xlsx" m="1" x="1371"/>
        <item m="1" x="1410"/>
        <item x="1059"/>
        <item x="1060"/>
        <item x="1061"/>
        <item m="1" x="1170"/>
        <item m="1" x="1326"/>
        <item m="1" x="1173"/>
        <item m="1" x="1174"/>
        <item x="496"/>
        <item x="497"/>
        <item x="514"/>
        <item x="524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6"/>
        <item x="587"/>
        <item x="588"/>
        <item x="589"/>
        <item x="590"/>
        <item x="591"/>
        <item x="592"/>
        <item x="593"/>
        <item x="594"/>
        <item x="595"/>
        <item x="606"/>
        <item x="607"/>
        <item x="622"/>
        <item x="623"/>
        <item x="624"/>
        <item x="625"/>
        <item x="686"/>
        <item x="687"/>
        <item m="1" x="1449"/>
        <item m="1" x="139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498"/>
        <item x="499"/>
        <item x="613"/>
        <item m="1" x="1517"/>
        <item x="647"/>
        <item m="1" x="1510"/>
        <item x="66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4"/>
        <item x="385"/>
        <item m="1" x="1477"/>
        <item m="1" x="1427"/>
        <item m="1" x="1417"/>
        <item m="1" x="1413"/>
        <item m="1" x="1334"/>
        <item x="604"/>
        <item x="605"/>
        <item m="1" x="1515"/>
        <item m="1" x="1473"/>
        <item x="610"/>
        <item x="612"/>
        <item x="626"/>
        <item m="1" x="1455"/>
        <item x="638"/>
        <item x="639"/>
        <item x="646"/>
        <item x="648"/>
        <item x="703"/>
        <item x="704"/>
        <item x="732"/>
        <item x="734"/>
        <item x="736"/>
        <item x="738"/>
        <item x="740"/>
        <item x="742"/>
        <item x="745"/>
        <item x="746"/>
        <item x="758"/>
        <item x="759"/>
        <item x="767"/>
        <item x="768"/>
        <item x="774"/>
        <item x="775"/>
        <item m="1" x="1216"/>
        <item m="1" x="1217"/>
        <item x="956"/>
        <item x="957"/>
        <item x="958"/>
        <item x="1118"/>
        <item x="1119"/>
        <item x="1120"/>
        <item x="44"/>
        <item x="45"/>
        <item x="192"/>
        <item x="193"/>
        <item x="194"/>
        <item m="1" x="1499"/>
        <item m="1" x="1434"/>
        <item x="337"/>
        <item x="338"/>
        <item x="894"/>
        <item x="896"/>
        <item x="897"/>
        <item x="898"/>
        <item x="902"/>
        <item x="903"/>
        <item x="904"/>
        <item x="922"/>
        <item x="923"/>
        <item x="1097"/>
        <item x="1098"/>
        <item x="1099"/>
        <item x="1100"/>
        <item x="1101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79"/>
        <item x="280"/>
        <item x="286"/>
        <item m="1" x="1158"/>
        <item x="292"/>
        <item x="293"/>
        <item x="294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8"/>
        <item x="317"/>
        <item x="318"/>
        <item x="319"/>
        <item x="320"/>
        <item x="321"/>
        <item x="322"/>
        <item x="323"/>
        <item x="324"/>
        <item m="1" x="1191"/>
        <item m="1" x="1192"/>
        <item m="1" x="1193"/>
        <item m="1" x="119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1195"/>
        <item m="1" x="1196"/>
        <item x="380"/>
        <item x="381"/>
        <item x="382"/>
        <item x="383"/>
        <item m="1" x="1199"/>
        <item m="1" x="1200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50"/>
        <item x="401"/>
        <item x="402"/>
        <item x="403"/>
        <item x="404"/>
        <item x="405"/>
        <item x="406"/>
        <item x="407"/>
        <item x="408"/>
        <item x="410"/>
        <item x="412"/>
        <item x="413"/>
        <item x="414"/>
        <item m="1" x="1201"/>
        <item m="1" x="1202"/>
        <item m="1" x="1203"/>
        <item m="1" x="1206"/>
        <item m="1" x="1207"/>
        <item x="432"/>
        <item x="500"/>
        <item x="501"/>
        <item x="582"/>
        <item x="583"/>
        <item x="584"/>
        <item x="660"/>
        <item x="661"/>
        <item x="725"/>
        <item x="753"/>
        <item x="754"/>
        <item x="755"/>
        <item x="756"/>
        <item x="757"/>
        <item x="799"/>
        <item x="800"/>
        <item x="801"/>
        <item x="802"/>
        <item x="889"/>
        <item x="890"/>
        <item x="891"/>
        <item x="892"/>
        <item x="893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42"/>
        <item x="943"/>
        <item x="944"/>
        <item x="949"/>
        <item x="950"/>
        <item x="951"/>
        <item x="952"/>
        <item m="1" x="1234"/>
        <item m="1" x="1235"/>
        <item m="1" x="1236"/>
        <item m="1" x="1237"/>
        <item m="1" x="1238"/>
        <item x="1057"/>
        <item x="1058"/>
        <item x="1067"/>
        <item x="1068"/>
        <item x="1069"/>
        <item x="1073"/>
        <item x="1074"/>
        <item x="1095"/>
        <item x="1096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m="1" x="1125"/>
        <item m="1" x="1126"/>
        <item x="300"/>
        <item x="301"/>
        <item x="302"/>
        <item m="1" x="1168"/>
        <item m="1" x="1169"/>
        <item m="1" x="1175"/>
        <item m="1" x="1176"/>
        <item m="1" x="1188"/>
        <item x="332"/>
        <item x="333"/>
        <item x="334"/>
        <item x="342"/>
        <item x="343"/>
        <item x="344"/>
        <item x="345"/>
        <item x="369"/>
        <item x="370"/>
        <item x="378"/>
        <item x="379"/>
        <item m="1" x="1197"/>
        <item m="1" x="1198"/>
        <item x="399"/>
        <item x="400"/>
        <item x="411"/>
        <item m="1" x="1210"/>
        <item x="772"/>
        <item x="773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3"/>
        <item x="304"/>
        <item x="305"/>
        <item x="306"/>
        <item x="307"/>
        <item x="313"/>
        <item x="314"/>
        <item x="315"/>
        <item x="316"/>
        <item x="331"/>
        <item x="371"/>
        <item x="372"/>
        <item x="373"/>
        <item x="409"/>
        <item x="415"/>
        <item x="416"/>
        <item x="417"/>
        <item x="418"/>
        <item x="419"/>
        <item x="420"/>
        <item x="421"/>
        <item x="427"/>
        <item x="649"/>
        <item x="650"/>
        <item x="651"/>
        <item x="749"/>
        <item x="750"/>
        <item x="765"/>
        <item x="766"/>
        <item x="779"/>
        <item x="780"/>
        <item x="895"/>
        <item x="899"/>
        <item x="900"/>
        <item x="901"/>
        <item x="905"/>
        <item x="906"/>
        <item x="928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3"/>
        <item x="1054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37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35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34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32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31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29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27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26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24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1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20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188" workbookViewId="0">
      <selection activeCell="C218" sqref="C218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1336</v>
      </c>
      <c r="C33" t="s">
        <v>1337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1286</v>
      </c>
      <c r="C59" t="s">
        <v>1287</v>
      </c>
      <c r="D59">
        <v>0</v>
      </c>
    </row>
    <row r="60" spans="1:4" x14ac:dyDescent="0.25">
      <c r="A60" t="s">
        <v>82</v>
      </c>
      <c r="B60" t="s">
        <v>1290</v>
      </c>
      <c r="C60" t="s">
        <v>1291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1308</v>
      </c>
      <c r="C63" t="s">
        <v>1309</v>
      </c>
      <c r="D63">
        <v>0</v>
      </c>
    </row>
    <row r="64" spans="1:4" x14ac:dyDescent="0.25">
      <c r="A64" t="s">
        <v>82</v>
      </c>
      <c r="B64" t="s">
        <v>1351</v>
      </c>
      <c r="C64" t="s">
        <v>1352</v>
      </c>
      <c r="D64">
        <v>0</v>
      </c>
    </row>
    <row r="65" spans="1:4" x14ac:dyDescent="0.25">
      <c r="A65" t="s">
        <v>82</v>
      </c>
      <c r="B65" t="s">
        <v>1354</v>
      </c>
      <c r="C65" t="s">
        <v>1355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1357</v>
      </c>
      <c r="C81" t="s">
        <v>1359</v>
      </c>
      <c r="D81">
        <v>0</v>
      </c>
    </row>
    <row r="82" spans="1:4" x14ac:dyDescent="0.25">
      <c r="A82" t="s">
        <v>676</v>
      </c>
      <c r="B82" t="s">
        <v>1115</v>
      </c>
      <c r="C82" t="s">
        <v>1117</v>
      </c>
      <c r="D82">
        <v>0</v>
      </c>
    </row>
    <row r="83" spans="1:4" x14ac:dyDescent="0.25">
      <c r="A83" t="s">
        <v>676</v>
      </c>
      <c r="B83" t="s">
        <v>1360</v>
      </c>
      <c r="C83" t="s">
        <v>1362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1363</v>
      </c>
      <c r="C85" t="s">
        <v>1365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1120</v>
      </c>
      <c r="C91" t="s">
        <v>1121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1124</v>
      </c>
      <c r="C94" t="s">
        <v>1126</v>
      </c>
      <c r="D94">
        <v>0</v>
      </c>
    </row>
    <row r="95" spans="1:4" x14ac:dyDescent="0.25">
      <c r="A95" t="s">
        <v>101</v>
      </c>
      <c r="B95" t="s">
        <v>1293</v>
      </c>
      <c r="C95" t="s">
        <v>1294</v>
      </c>
      <c r="D95">
        <v>0</v>
      </c>
    </row>
    <row r="96" spans="1:4" x14ac:dyDescent="0.25">
      <c r="A96" t="s">
        <v>101</v>
      </c>
      <c r="B96" t="s">
        <v>107</v>
      </c>
      <c r="C96" t="s">
        <v>108</v>
      </c>
      <c r="D96">
        <v>0</v>
      </c>
    </row>
    <row r="97" spans="1:4" x14ac:dyDescent="0.25">
      <c r="A97" t="s">
        <v>101</v>
      </c>
      <c r="B97" t="s">
        <v>1127</v>
      </c>
      <c r="C97" t="s">
        <v>1128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1297</v>
      </c>
      <c r="C100" t="s">
        <v>1298</v>
      </c>
      <c r="D100">
        <v>0</v>
      </c>
    </row>
    <row r="101" spans="1:4" x14ac:dyDescent="0.25">
      <c r="A101" t="s">
        <v>101</v>
      </c>
      <c r="B101" t="s">
        <v>1300</v>
      </c>
      <c r="C101" t="s">
        <v>1301</v>
      </c>
      <c r="D101">
        <v>0</v>
      </c>
    </row>
    <row r="102" spans="1:4" x14ac:dyDescent="0.25">
      <c r="A102" t="s">
        <v>101</v>
      </c>
      <c r="B102" t="s">
        <v>1304</v>
      </c>
      <c r="C102" t="s">
        <v>1305</v>
      </c>
      <c r="D102">
        <v>0</v>
      </c>
    </row>
    <row r="103" spans="1:4" x14ac:dyDescent="0.25">
      <c r="A103" t="s">
        <v>101</v>
      </c>
      <c r="B103" t="s">
        <v>116</v>
      </c>
      <c r="C103" t="s">
        <v>117</v>
      </c>
      <c r="D103">
        <v>0</v>
      </c>
    </row>
    <row r="104" spans="1:4" x14ac:dyDescent="0.25">
      <c r="A104" t="s">
        <v>101</v>
      </c>
      <c r="B104" t="s">
        <v>1131</v>
      </c>
      <c r="C104" t="s">
        <v>1132</v>
      </c>
      <c r="D104">
        <v>0</v>
      </c>
    </row>
    <row r="105" spans="1:4" x14ac:dyDescent="0.25">
      <c r="A105" t="s">
        <v>101</v>
      </c>
      <c r="B105" t="s">
        <v>119</v>
      </c>
      <c r="C105" t="s">
        <v>120</v>
      </c>
      <c r="D105">
        <v>0</v>
      </c>
    </row>
    <row r="106" spans="1:4" x14ac:dyDescent="0.25">
      <c r="A106" t="s">
        <v>101</v>
      </c>
      <c r="B106" t="s">
        <v>1369</v>
      </c>
      <c r="C106" t="s">
        <v>1371</v>
      </c>
      <c r="D106">
        <v>0</v>
      </c>
    </row>
    <row r="107" spans="1:4" x14ac:dyDescent="0.25">
      <c r="A107" t="s">
        <v>101</v>
      </c>
      <c r="B107" t="s">
        <v>893</v>
      </c>
      <c r="C107" t="s">
        <v>894</v>
      </c>
      <c r="D107">
        <v>0</v>
      </c>
    </row>
    <row r="108" spans="1:4" x14ac:dyDescent="0.25">
      <c r="A108" t="s">
        <v>101</v>
      </c>
      <c r="B108" t="s">
        <v>1372</v>
      </c>
      <c r="C108" t="s">
        <v>1373</v>
      </c>
      <c r="D108">
        <v>0</v>
      </c>
    </row>
    <row r="109" spans="1:4" x14ac:dyDescent="0.25">
      <c r="A109" t="s">
        <v>101</v>
      </c>
      <c r="B109" t="s">
        <v>1375</v>
      </c>
      <c r="C109" t="s">
        <v>1376</v>
      </c>
      <c r="D109">
        <v>0</v>
      </c>
    </row>
    <row r="110" spans="1:4" x14ac:dyDescent="0.25">
      <c r="A110" t="s">
        <v>101</v>
      </c>
      <c r="B110" t="s">
        <v>1138</v>
      </c>
      <c r="C110" t="s">
        <v>1140</v>
      </c>
      <c r="D110">
        <v>0</v>
      </c>
    </row>
    <row r="111" spans="1:4" x14ac:dyDescent="0.25">
      <c r="A111" t="s">
        <v>101</v>
      </c>
      <c r="B111" t="s">
        <v>122</v>
      </c>
      <c r="C111" t="s">
        <v>124</v>
      </c>
      <c r="D111">
        <v>0</v>
      </c>
    </row>
    <row r="112" spans="1:4" x14ac:dyDescent="0.25">
      <c r="A112" t="s">
        <v>101</v>
      </c>
      <c r="B112" t="s">
        <v>125</v>
      </c>
      <c r="C112" t="s">
        <v>126</v>
      </c>
      <c r="D112">
        <v>0</v>
      </c>
    </row>
    <row r="113" spans="1:4" x14ac:dyDescent="0.25">
      <c r="A113" t="s">
        <v>101</v>
      </c>
      <c r="B113" t="s">
        <v>128</v>
      </c>
      <c r="C113" t="s">
        <v>129</v>
      </c>
      <c r="D113">
        <v>0</v>
      </c>
    </row>
    <row r="114" spans="1:4" x14ac:dyDescent="0.25">
      <c r="A114" t="s">
        <v>101</v>
      </c>
      <c r="B114" t="s">
        <v>132</v>
      </c>
      <c r="C114" t="s">
        <v>133</v>
      </c>
      <c r="D114">
        <v>0</v>
      </c>
    </row>
    <row r="115" spans="1:4" x14ac:dyDescent="0.25">
      <c r="A115" t="s">
        <v>101</v>
      </c>
      <c r="B115" t="s">
        <v>1142</v>
      </c>
      <c r="C115" t="s">
        <v>1145</v>
      </c>
      <c r="D115">
        <v>0</v>
      </c>
    </row>
    <row r="116" spans="1:4" x14ac:dyDescent="0.25">
      <c r="A116" t="s">
        <v>101</v>
      </c>
      <c r="B116" t="s">
        <v>136</v>
      </c>
      <c r="C116" t="s">
        <v>139</v>
      </c>
      <c r="D116">
        <v>0</v>
      </c>
    </row>
    <row r="117" spans="1:4" x14ac:dyDescent="0.25">
      <c r="A117" t="s">
        <v>101</v>
      </c>
      <c r="B117" t="s">
        <v>1311</v>
      </c>
      <c r="C117" t="s">
        <v>1312</v>
      </c>
      <c r="D117">
        <v>0</v>
      </c>
    </row>
    <row r="118" spans="1:4" x14ac:dyDescent="0.25">
      <c r="A118" t="s">
        <v>101</v>
      </c>
      <c r="B118" t="s">
        <v>1380</v>
      </c>
      <c r="C118" t="s">
        <v>1381</v>
      </c>
      <c r="D118">
        <v>0</v>
      </c>
    </row>
    <row r="119" spans="1:4" x14ac:dyDescent="0.25">
      <c r="A119" t="s">
        <v>101</v>
      </c>
      <c r="B119" t="s">
        <v>1384</v>
      </c>
      <c r="C119" t="s">
        <v>1386</v>
      </c>
      <c r="D119">
        <v>0</v>
      </c>
    </row>
    <row r="120" spans="1:4" x14ac:dyDescent="0.25">
      <c r="A120" t="s">
        <v>101</v>
      </c>
      <c r="B120" t="s">
        <v>865</v>
      </c>
      <c r="C120" t="s">
        <v>866</v>
      </c>
      <c r="D120">
        <v>0</v>
      </c>
    </row>
    <row r="121" spans="1:4" x14ac:dyDescent="0.25">
      <c r="A121" t="s">
        <v>101</v>
      </c>
      <c r="B121" t="s">
        <v>140</v>
      </c>
      <c r="C121" t="s">
        <v>142</v>
      </c>
      <c r="D121">
        <v>0</v>
      </c>
    </row>
    <row r="122" spans="1:4" x14ac:dyDescent="0.25">
      <c r="A122" t="s">
        <v>101</v>
      </c>
      <c r="B122" t="s">
        <v>1387</v>
      </c>
      <c r="C122" t="s">
        <v>1389</v>
      </c>
      <c r="D122">
        <v>0</v>
      </c>
    </row>
    <row r="123" spans="1:4" x14ac:dyDescent="0.25">
      <c r="A123" t="s">
        <v>101</v>
      </c>
      <c r="B123" t="s">
        <v>1390</v>
      </c>
      <c r="C123" t="s">
        <v>1391</v>
      </c>
      <c r="D123">
        <v>0</v>
      </c>
    </row>
    <row r="124" spans="1:4" x14ac:dyDescent="0.25">
      <c r="A124" t="s">
        <v>101</v>
      </c>
      <c r="B124" t="s">
        <v>1147</v>
      </c>
      <c r="C124" t="s">
        <v>1149</v>
      </c>
      <c r="D124">
        <v>0</v>
      </c>
    </row>
    <row r="125" spans="1:4" x14ac:dyDescent="0.25">
      <c r="A125" t="s">
        <v>101</v>
      </c>
      <c r="B125" t="s">
        <v>1150</v>
      </c>
      <c r="C125" t="s">
        <v>1152</v>
      </c>
      <c r="D125">
        <v>0</v>
      </c>
    </row>
    <row r="126" spans="1:4" x14ac:dyDescent="0.25">
      <c r="A126" t="s">
        <v>101</v>
      </c>
      <c r="B126" t="s">
        <v>1153</v>
      </c>
      <c r="C126" t="s">
        <v>1154</v>
      </c>
      <c r="D126">
        <v>0</v>
      </c>
    </row>
    <row r="127" spans="1:4" x14ac:dyDescent="0.25">
      <c r="A127" t="s">
        <v>101</v>
      </c>
      <c r="B127" t="s">
        <v>1156</v>
      </c>
      <c r="C127" t="s">
        <v>1157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1315</v>
      </c>
      <c r="C131" t="s">
        <v>1318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1319</v>
      </c>
      <c r="C135" t="s">
        <v>1320</v>
      </c>
      <c r="D135">
        <v>0</v>
      </c>
    </row>
    <row r="136" spans="1:4" x14ac:dyDescent="0.25">
      <c r="A136" t="s">
        <v>101</v>
      </c>
      <c r="B136" t="s">
        <v>1159</v>
      </c>
      <c r="C136" t="s">
        <v>1160</v>
      </c>
      <c r="D136">
        <v>0</v>
      </c>
    </row>
    <row r="137" spans="1:4" x14ac:dyDescent="0.25">
      <c r="A137" t="s">
        <v>101</v>
      </c>
      <c r="B137" t="s">
        <v>1324</v>
      </c>
      <c r="C137" t="s">
        <v>1325</v>
      </c>
      <c r="D137">
        <v>0</v>
      </c>
    </row>
    <row r="138" spans="1:4" x14ac:dyDescent="0.25">
      <c r="A138" t="s">
        <v>101</v>
      </c>
      <c r="B138" t="s">
        <v>1394</v>
      </c>
      <c r="C138" t="s">
        <v>1395</v>
      </c>
      <c r="D138">
        <v>0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1327</v>
      </c>
      <c r="C140" t="s">
        <v>1328</v>
      </c>
      <c r="D140">
        <v>0</v>
      </c>
    </row>
    <row r="141" spans="1:4" x14ac:dyDescent="0.25">
      <c r="A141" t="s">
        <v>101</v>
      </c>
      <c r="B141" t="s">
        <v>1183</v>
      </c>
      <c r="C141" t="s">
        <v>1184</v>
      </c>
      <c r="D141">
        <v>0</v>
      </c>
    </row>
    <row r="142" spans="1:4" x14ac:dyDescent="0.25">
      <c r="A142" t="s">
        <v>101</v>
      </c>
      <c r="B142" t="s">
        <v>1186</v>
      </c>
      <c r="C142" t="s">
        <v>1187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1189</v>
      </c>
      <c r="C144" t="s">
        <v>1190</v>
      </c>
      <c r="D144">
        <v>0</v>
      </c>
    </row>
    <row r="145" spans="1:4" x14ac:dyDescent="0.25">
      <c r="A145" t="s">
        <v>101</v>
      </c>
      <c r="B145" t="s">
        <v>1192</v>
      </c>
      <c r="C145" t="s">
        <v>1193</v>
      </c>
      <c r="D145">
        <v>0</v>
      </c>
    </row>
    <row r="146" spans="1:4" x14ac:dyDescent="0.25">
      <c r="A146" t="s">
        <v>101</v>
      </c>
      <c r="B146" t="s">
        <v>1399</v>
      </c>
      <c r="C146" t="s">
        <v>1400</v>
      </c>
      <c r="D146">
        <v>0</v>
      </c>
    </row>
    <row r="147" spans="1:4" x14ac:dyDescent="0.25">
      <c r="A147" t="s">
        <v>101</v>
      </c>
      <c r="B147" t="s">
        <v>1405</v>
      </c>
      <c r="C147" t="s">
        <v>1407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0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1218</v>
      </c>
      <c r="C164" t="s">
        <v>1220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1221</v>
      </c>
      <c r="C185" t="s">
        <v>1222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s="7" t="s">
        <v>256</v>
      </c>
      <c r="B194" s="7" t="s">
        <v>283</v>
      </c>
      <c r="C194" t="s">
        <v>663</v>
      </c>
      <c r="D194">
        <v>0</v>
      </c>
    </row>
    <row r="195" spans="1:4" x14ac:dyDescent="0.25">
      <c r="A195" s="7" t="s">
        <v>256</v>
      </c>
      <c r="B195" t="s">
        <v>284</v>
      </c>
      <c r="C195" t="s">
        <v>285</v>
      </c>
      <c r="D195">
        <v>0</v>
      </c>
    </row>
    <row r="196" spans="1:4" x14ac:dyDescent="0.25">
      <c r="A196" s="7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1</v>
      </c>
    </row>
    <row r="204" spans="1:4" x14ac:dyDescent="0.25">
      <c r="A204" t="s">
        <v>745</v>
      </c>
      <c r="B204" t="s">
        <v>1411</v>
      </c>
      <c r="C204" t="s">
        <v>1412</v>
      </c>
      <c r="D204">
        <v>1</v>
      </c>
    </row>
    <row r="205" spans="1:4" x14ac:dyDescent="0.25">
      <c r="A205" t="s">
        <v>745</v>
      </c>
      <c r="B205" t="s">
        <v>746</v>
      </c>
      <c r="C205" t="s">
        <v>747</v>
      </c>
      <c r="D205">
        <v>1</v>
      </c>
    </row>
    <row r="206" spans="1:4" x14ac:dyDescent="0.25">
      <c r="A206" t="s">
        <v>745</v>
      </c>
      <c r="B206" t="s">
        <v>749</v>
      </c>
      <c r="C206" t="s">
        <v>750</v>
      </c>
      <c r="D206">
        <v>1</v>
      </c>
    </row>
    <row r="207" spans="1:4" x14ac:dyDescent="0.25">
      <c r="A207" t="s">
        <v>745</v>
      </c>
      <c r="B207" t="s">
        <v>643</v>
      </c>
      <c r="C207" t="s">
        <v>644</v>
      </c>
      <c r="D207">
        <v>1</v>
      </c>
    </row>
    <row r="208" spans="1:4" x14ac:dyDescent="0.25">
      <c r="A208" t="s">
        <v>745</v>
      </c>
      <c r="B208" t="s">
        <v>752</v>
      </c>
      <c r="C208" t="s">
        <v>753</v>
      </c>
      <c r="D208">
        <v>1</v>
      </c>
    </row>
    <row r="209" spans="1:4" x14ac:dyDescent="0.25">
      <c r="A209" t="s">
        <v>745</v>
      </c>
      <c r="B209" t="s">
        <v>1223</v>
      </c>
      <c r="C209" t="s">
        <v>1224</v>
      </c>
      <c r="D209">
        <v>1</v>
      </c>
    </row>
    <row r="210" spans="1:4" x14ac:dyDescent="0.25">
      <c r="A210" t="s">
        <v>745</v>
      </c>
      <c r="B210" t="s">
        <v>755</v>
      </c>
      <c r="C210" t="s">
        <v>756</v>
      </c>
      <c r="D210">
        <v>1</v>
      </c>
    </row>
    <row r="211" spans="1:4" x14ac:dyDescent="0.25">
      <c r="A211" t="s">
        <v>745</v>
      </c>
      <c r="B211" t="s">
        <v>758</v>
      </c>
      <c r="C211" t="s">
        <v>760</v>
      </c>
      <c r="D211">
        <v>1</v>
      </c>
    </row>
    <row r="212" spans="1:4" x14ac:dyDescent="0.25">
      <c r="A212" t="s">
        <v>745</v>
      </c>
      <c r="B212" t="s">
        <v>995</v>
      </c>
      <c r="C212" t="s">
        <v>996</v>
      </c>
      <c r="D212">
        <v>1</v>
      </c>
    </row>
    <row r="213" spans="1:4" x14ac:dyDescent="0.25">
      <c r="A213" t="s">
        <v>745</v>
      </c>
      <c r="B213" t="s">
        <v>855</v>
      </c>
      <c r="C213" t="s">
        <v>882</v>
      </c>
      <c r="D213">
        <v>1</v>
      </c>
    </row>
    <row r="214" spans="1:4" x14ac:dyDescent="0.25">
      <c r="A214" t="s">
        <v>745</v>
      </c>
      <c r="B214" t="s">
        <v>937</v>
      </c>
      <c r="C214" t="s">
        <v>939</v>
      </c>
      <c r="D214">
        <v>1</v>
      </c>
    </row>
    <row r="215" spans="1:4" x14ac:dyDescent="0.25">
      <c r="A215" t="s">
        <v>745</v>
      </c>
      <c r="B215" t="s">
        <v>883</v>
      </c>
      <c r="C215" t="s">
        <v>886</v>
      </c>
      <c r="D215">
        <v>1</v>
      </c>
    </row>
    <row r="216" spans="1:4" x14ac:dyDescent="0.25">
      <c r="A216" t="s">
        <v>745</v>
      </c>
      <c r="B216" t="s">
        <v>879</v>
      </c>
      <c r="C216" t="s">
        <v>880</v>
      </c>
      <c r="D216">
        <v>1</v>
      </c>
    </row>
    <row r="217" spans="1:4" x14ac:dyDescent="0.25">
      <c r="A217" t="s">
        <v>745</v>
      </c>
      <c r="B217" t="s">
        <v>784</v>
      </c>
      <c r="C217" t="s">
        <v>785</v>
      </c>
      <c r="D217">
        <v>1</v>
      </c>
    </row>
    <row r="218" spans="1:4" x14ac:dyDescent="0.25">
      <c r="A218" t="s">
        <v>745</v>
      </c>
      <c r="B218" t="s">
        <v>761</v>
      </c>
      <c r="C218" t="s">
        <v>762</v>
      </c>
      <c r="D218">
        <v>1</v>
      </c>
    </row>
    <row r="219" spans="1:4" x14ac:dyDescent="0.25">
      <c r="A219" t="s">
        <v>745</v>
      </c>
      <c r="B219" t="s">
        <v>787</v>
      </c>
      <c r="C219" t="s">
        <v>788</v>
      </c>
      <c r="D219">
        <v>1</v>
      </c>
    </row>
    <row r="220" spans="1:4" x14ac:dyDescent="0.25">
      <c r="A220" t="s">
        <v>745</v>
      </c>
      <c r="B220" t="s">
        <v>1012</v>
      </c>
      <c r="C220" t="s">
        <v>1014</v>
      </c>
      <c r="D220">
        <v>1</v>
      </c>
    </row>
    <row r="221" spans="1:4" x14ac:dyDescent="0.25">
      <c r="A221" t="s">
        <v>745</v>
      </c>
      <c r="B221" t="s">
        <v>764</v>
      </c>
      <c r="C221" t="s">
        <v>765</v>
      </c>
      <c r="D221">
        <v>1</v>
      </c>
    </row>
    <row r="222" spans="1:4" x14ac:dyDescent="0.25">
      <c r="A222" t="s">
        <v>745</v>
      </c>
      <c r="B222" t="s">
        <v>1036</v>
      </c>
      <c r="C222" t="s">
        <v>1037</v>
      </c>
      <c r="D222">
        <v>1</v>
      </c>
    </row>
    <row r="223" spans="1:4" x14ac:dyDescent="0.25">
      <c r="A223" t="s">
        <v>745</v>
      </c>
      <c r="B223" t="s">
        <v>296</v>
      </c>
      <c r="C223" t="s">
        <v>298</v>
      </c>
      <c r="D223">
        <v>1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s="7" t="s">
        <v>340</v>
      </c>
      <c r="B233" s="7" t="s">
        <v>1066</v>
      </c>
      <c r="C233" t="s">
        <v>1086</v>
      </c>
      <c r="D233">
        <v>0</v>
      </c>
    </row>
    <row r="234" spans="1:4" x14ac:dyDescent="0.25">
      <c r="A234" s="7" t="s">
        <v>340</v>
      </c>
      <c r="B234" s="7" t="s">
        <v>1066</v>
      </c>
      <c r="C234" t="s">
        <v>1087</v>
      </c>
      <c r="D234">
        <v>0</v>
      </c>
    </row>
    <row r="235" spans="1:4" x14ac:dyDescent="0.25">
      <c r="A235" s="7" t="s">
        <v>340</v>
      </c>
      <c r="B235" s="7" t="s">
        <v>1066</v>
      </c>
      <c r="C235" t="s">
        <v>1226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1415</v>
      </c>
      <c r="C237" t="s">
        <v>1416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1227</v>
      </c>
      <c r="C239" t="s">
        <v>1232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1333</v>
      </c>
      <c r="C245" t="s">
        <v>1334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1233</v>
      </c>
      <c r="C251" t="s">
        <v>1234</v>
      </c>
      <c r="D251">
        <v>0</v>
      </c>
    </row>
    <row r="252" spans="1:4" x14ac:dyDescent="0.25">
      <c r="A252" t="s">
        <v>347</v>
      </c>
      <c r="B252" t="s">
        <v>1236</v>
      </c>
      <c r="C252" t="s">
        <v>1237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0</v>
      </c>
    </row>
    <row r="255" spans="1:4" x14ac:dyDescent="0.25">
      <c r="A255" t="s">
        <v>347</v>
      </c>
      <c r="B255" t="s">
        <v>1239</v>
      </c>
      <c r="C255" t="s">
        <v>1240</v>
      </c>
      <c r="D255">
        <v>0</v>
      </c>
    </row>
    <row r="256" spans="1:4" x14ac:dyDescent="0.25">
      <c r="A256" t="s">
        <v>347</v>
      </c>
      <c r="B256" t="s">
        <v>1243</v>
      </c>
      <c r="C256" t="s">
        <v>1244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1246</v>
      </c>
      <c r="C258" t="s">
        <v>1247</v>
      </c>
      <c r="D258">
        <v>0</v>
      </c>
    </row>
    <row r="259" spans="1:4" x14ac:dyDescent="0.25">
      <c r="A259" t="s">
        <v>347</v>
      </c>
      <c r="B259" t="s">
        <v>1249</v>
      </c>
      <c r="C259" t="s">
        <v>1250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0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1428</v>
      </c>
      <c r="C263" t="s">
        <v>1429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1263</v>
      </c>
      <c r="C268" t="s">
        <v>1264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1267</v>
      </c>
      <c r="C271" t="s">
        <v>1269</v>
      </c>
      <c r="D271">
        <v>0</v>
      </c>
    </row>
    <row r="272" spans="1:4" x14ac:dyDescent="0.25">
      <c r="A272" t="s">
        <v>347</v>
      </c>
      <c r="B272" t="s">
        <v>1270</v>
      </c>
      <c r="C272" t="s">
        <v>1272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1430</v>
      </c>
      <c r="C279" t="s">
        <v>1443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1444</v>
      </c>
      <c r="C281" t="s">
        <v>1445</v>
      </c>
      <c r="D281">
        <v>0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1273</v>
      </c>
      <c r="C283" t="s">
        <v>1274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1276</v>
      </c>
      <c r="C287" t="s">
        <v>1277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1280</v>
      </c>
      <c r="C289" t="s">
        <v>1281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1283</v>
      </c>
      <c r="C294" t="s">
        <v>1284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39" priority="1">
      <formula>AND($D1=0,NOT($D1=""))</formula>
    </cfRule>
    <cfRule type="expression" dxfId="38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1336</v>
      </c>
      <c r="C78" t="s">
        <v>1337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1336</v>
      </c>
      <c r="C79" t="s">
        <v>1338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1336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1336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1286</v>
      </c>
      <c r="C148" t="s">
        <v>1287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1286</v>
      </c>
      <c r="C149" t="s">
        <v>1288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1286</v>
      </c>
      <c r="C150" t="s">
        <v>1289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1290</v>
      </c>
      <c r="C151" t="s">
        <v>1291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1290</v>
      </c>
      <c r="C152" t="s">
        <v>1292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1308</v>
      </c>
      <c r="C167" t="s">
        <v>1309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1308</v>
      </c>
      <c r="C168" t="s">
        <v>1310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1351</v>
      </c>
      <c r="C169" t="s">
        <v>1352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1351</v>
      </c>
      <c r="C170" t="s">
        <v>1353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1354</v>
      </c>
      <c r="C171" t="s">
        <v>1355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1354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1357</v>
      </c>
      <c r="C204" t="s">
        <v>1358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Covered by Carbon Tax Border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1357</v>
      </c>
      <c r="C205" t="s">
        <v>1359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1115</v>
      </c>
      <c r="C206" t="s">
        <v>1116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1115</v>
      </c>
      <c r="C207" t="s">
        <v>1117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1360</v>
      </c>
      <c r="C208" t="s">
        <v>1361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Vehicle Types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1360</v>
      </c>
      <c r="C209" t="s">
        <v>1362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1118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1119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1363</v>
      </c>
      <c r="C222" t="s">
        <v>1364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1363</v>
      </c>
      <c r="C223" t="s">
        <v>1365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1120</v>
      </c>
      <c r="C234" t="s">
        <v>1121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1120</v>
      </c>
      <c r="C235" t="s">
        <v>1122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1120</v>
      </c>
      <c r="C236" t="s">
        <v>1123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102</v>
      </c>
      <c r="C237" t="s">
        <v>103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1366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1367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1368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104</v>
      </c>
      <c r="C241" t="s">
        <v>105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Cap Retirements before Quantization.xlsx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1124</v>
      </c>
      <c r="C243" t="s">
        <v>1125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1124</v>
      </c>
      <c r="C244" t="s">
        <v>1126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1293</v>
      </c>
      <c r="C245" t="s">
        <v>1294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1293</v>
      </c>
      <c r="C247" t="s">
        <v>1296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107</v>
      </c>
      <c r="C248" t="s">
        <v>108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1127</v>
      </c>
      <c r="C250" t="s">
        <v>1128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1127</v>
      </c>
      <c r="C251" t="s">
        <v>1129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1127</v>
      </c>
      <c r="C252" t="s">
        <v>1130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110</v>
      </c>
      <c r="C253" t="s">
        <v>111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1297</v>
      </c>
      <c r="C257" t="s">
        <v>1298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1297</v>
      </c>
      <c r="C258" t="s">
        <v>1299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1300</v>
      </c>
      <c r="C259" t="s">
        <v>1301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Data by Subregion.xlsx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1300</v>
      </c>
      <c r="C260" t="s">
        <v>1302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1300</v>
      </c>
      <c r="C261" t="s">
        <v>1303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1304</v>
      </c>
      <c r="C262" t="s">
        <v>1305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Electricity Supplied to the Grid by Grid Batteries.xlsx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1304</v>
      </c>
      <c r="C263" t="s">
        <v>1306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Trans and Distr Loss Perc.xlsx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</v>
      </c>
      <c r="C265" t="s">
        <v>118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1131</v>
      </c>
      <c r="C266" t="s">
        <v>1132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1131</v>
      </c>
      <c r="C267" t="s">
        <v>1133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1135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1307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119</v>
      </c>
      <c r="C273" t="s">
        <v>778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119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119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1369</v>
      </c>
      <c r="C276" t="s">
        <v>1370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1369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893</v>
      </c>
      <c r="C278" t="s">
        <v>894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1372</v>
      </c>
      <c r="C280" t="s">
        <v>1373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Cap Ret per Unit Net Loss.xlsx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1372</v>
      </c>
      <c r="C281" t="s">
        <v>1374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1375</v>
      </c>
      <c r="C282" t="s">
        <v>1376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1375</v>
      </c>
      <c r="C283" t="s">
        <v>1377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1375</v>
      </c>
      <c r="C284" t="s">
        <v>1378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1375</v>
      </c>
      <c r="C285" t="s">
        <v>1379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1138</v>
      </c>
      <c r="C286" t="s">
        <v>1139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1138</v>
      </c>
      <c r="C287" t="s">
        <v>1140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Dist Construction Cost per Unit Increase in Peak Load.xlsx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122</v>
      </c>
      <c r="C289" t="s">
        <v>124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Decommissioning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Dispatch Priority by Elec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129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128</v>
      </c>
      <c r="C295" t="s">
        <v>131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132</v>
      </c>
      <c r="C298" t="s">
        <v>135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1142</v>
      </c>
      <c r="C299" t="s">
        <v>1143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1142</v>
      </c>
      <c r="C300" t="s">
        <v>1144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1142</v>
      </c>
      <c r="C301" t="s">
        <v>1145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137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731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138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732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</v>
      </c>
      <c r="C306" t="s">
        <v>139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1311</v>
      </c>
      <c r="C307" t="s">
        <v>1312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1311</v>
      </c>
      <c r="C308" t="s">
        <v>1313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1311</v>
      </c>
      <c r="C309" t="s">
        <v>1314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Storage Tech Round Trip Efficiency.xlsx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1380</v>
      </c>
      <c r="C310" t="s">
        <v>1381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1380</v>
      </c>
      <c r="C311" t="s">
        <v>1382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1380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Sources Used for Rlbty and Lst Cst Dsptch.xlsx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 Cap Growth per Unit Net Revenue.xlsx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1146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866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865</v>
      </c>
      <c r="C317" t="s">
        <v>738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Storage Capacities.xlsx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140</v>
      </c>
      <c r="C319" t="s">
        <v>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Guaranteed Dispatch Perc by Elec Source.xlsx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1387</v>
      </c>
      <c r="C320" t="s">
        <v>1388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1387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Hybrid Electricity Source Battery Capacity per Unit Electricity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1390</v>
      </c>
      <c r="C322" t="s">
        <v>1391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1390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1147</v>
      </c>
      <c r="C324" t="s">
        <v>1148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Inc in Cap Factors due to Tech Imprv.xlsx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1147</v>
      </c>
      <c r="C325" t="s">
        <v>1149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1150</v>
      </c>
      <c r="C326" t="s">
        <v>1151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Load Factor Hourly Variance Multiplier.xlsx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1150</v>
      </c>
      <c r="C327" t="s">
        <v>1152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1153</v>
      </c>
      <c r="C328" t="s">
        <v>1154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Maximum Capacity Factor.xlsx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1153</v>
      </c>
      <c r="C329" t="s">
        <v>1155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1156</v>
      </c>
      <c r="C330" t="s">
        <v>1157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Min Life for Pwr Plnt Rtmnts.xlsx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1156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143</v>
      </c>
      <c r="C332" t="s">
        <v>144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143</v>
      </c>
      <c r="C333" t="s">
        <v>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146</v>
      </c>
      <c r="C334" t="s">
        <v>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146</v>
      </c>
      <c r="C335" t="s">
        <v>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149</v>
      </c>
      <c r="C336" t="s">
        <v>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 Mandated Cap Const Sched.xlsx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149</v>
      </c>
      <c r="C337" t="s">
        <v>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1315</v>
      </c>
      <c r="C338" t="s">
        <v>1393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Regional Availability Factor.xlsx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1315</v>
      </c>
      <c r="C339" t="s">
        <v>1316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Regional Availability Factor.xlsx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1315</v>
      </c>
      <c r="C340" t="s">
        <v>1317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Regional Availability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1315</v>
      </c>
      <c r="C341" t="s">
        <v>1318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152</v>
      </c>
      <c r="C342" t="s">
        <v>153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Reserve Margin.xlsx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152</v>
      </c>
      <c r="C343" t="s">
        <v>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Reserve Margin.xlsx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1063</v>
      </c>
      <c r="C344" t="s">
        <v>1064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RPfFESCC Repayment Period for Financed Elec Sector Capital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1063</v>
      </c>
      <c r="C345" t="s">
        <v>1065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RPfFESCC Repayment Period for Financed Elec Sector Capital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155</v>
      </c>
      <c r="C346" t="s">
        <v>156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RPS Qualifying Source Definitions.xlsx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155</v>
      </c>
      <c r="C347" t="s">
        <v>157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RPS Qualifying Source Definitions.xlsx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155</v>
      </c>
      <c r="C348" t="s">
        <v>158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RPS Qualifying Source Definitions.xlsx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1319</v>
      </c>
      <c r="C349" t="s">
        <v>1320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Seasonal Electricity Storage.xlsx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1319</v>
      </c>
      <c r="C350" t="s">
        <v>1321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Seasonal Electricity Storage.xlsx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1319</v>
      </c>
      <c r="C351" t="s">
        <v>1322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Seasonal Electricity Storage.xlsx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1319</v>
      </c>
      <c r="C352" t="s">
        <v>1323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1159</v>
      </c>
      <c r="C353" t="s">
        <v>1160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Hourly Equipment Load Factors by End Use.xlsx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1159</v>
      </c>
      <c r="C354" t="s">
        <v>1161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1159</v>
      </c>
      <c r="C355" t="s">
        <v>1162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1159</v>
      </c>
      <c r="C356" t="s">
        <v>1163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1159</v>
      </c>
      <c r="C357" t="s">
        <v>1164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1159</v>
      </c>
      <c r="C358" t="s">
        <v>1165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1159</v>
      </c>
      <c r="C359" t="s">
        <v>1166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1159</v>
      </c>
      <c r="C360" t="s">
        <v>1167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1159</v>
      </c>
      <c r="C361" t="s">
        <v>1168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1159</v>
      </c>
      <c r="C362" t="s">
        <v>1169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1159</v>
      </c>
      <c r="C363" t="s">
        <v>1170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1159</v>
      </c>
      <c r="C364" t="s">
        <v>1171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1159</v>
      </c>
      <c r="C365" t="s">
        <v>1172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1159</v>
      </c>
      <c r="C366" t="s">
        <v>1173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1159</v>
      </c>
      <c r="C367" t="s">
        <v>1174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1159</v>
      </c>
      <c r="C368" t="s">
        <v>1175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1159</v>
      </c>
      <c r="C369" t="s">
        <v>1176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1159</v>
      </c>
      <c r="C370" t="s">
        <v>1177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1159</v>
      </c>
      <c r="C371" t="s">
        <v>1178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1159</v>
      </c>
      <c r="C372" t="s">
        <v>1179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1159</v>
      </c>
      <c r="C373" t="s">
        <v>1180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1159</v>
      </c>
      <c r="C374" t="s">
        <v>1181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1159</v>
      </c>
      <c r="C375" t="s">
        <v>1182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1324</v>
      </c>
      <c r="C376" t="s">
        <v>1325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Shr of Costs that Must be Covered to be Deemed Profitable.xlsx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1324</v>
      </c>
      <c r="C377" t="s">
        <v>1326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Shr of Costs that Must be Covered to be Deemed Profitable.xlsx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1394</v>
      </c>
      <c r="C378" t="s">
        <v>1395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Share of Elec Imp and Exp by Hour.xlsx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1394</v>
      </c>
      <c r="C379" t="s">
        <v>1396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 Imp and Exp by Hour.xlsx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1394</v>
      </c>
      <c r="C380" t="s">
        <v>1397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 Imp and Exp by Hour.xlsx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733</v>
      </c>
      <c r="C381" t="s">
        <v>734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Electricity Sector Capital and OM Costs by ISIC Code.xlsx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733</v>
      </c>
      <c r="C382" t="s">
        <v>735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Electricity Sector Capital and OM Costs by ISIC Code.xlsx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733</v>
      </c>
      <c r="C383" t="s">
        <v>736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Electricity Sector Capital and OM Costs by ISIC Code.xlsx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733</v>
      </c>
      <c r="C384" t="s">
        <v>737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1327</v>
      </c>
      <c r="C385" t="s">
        <v>1328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Shr of Fwd Costs that Must be Covered to be Prevent Retirement.xlsx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1327</v>
      </c>
      <c r="C386" t="s">
        <v>1329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Shr of Fwd Costs that Must be Covered to be Prevent Retirement.xlsx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1183</v>
      </c>
      <c r="C387" t="s">
        <v>1184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Transmission and Distribution Capital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1183</v>
      </c>
      <c r="C388" t="s">
        <v>1185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Transmission and Distribution Capital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1186</v>
      </c>
      <c r="C389" t="s">
        <v>1187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Share of Transmission and Distribution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1186</v>
      </c>
      <c r="C390" t="s">
        <v>1188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Transmission and Distribution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1021</v>
      </c>
      <c r="C391" t="s">
        <v>1022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STfESCE Smoothing Time for Electricity Sector Capital Expenditures.xlsx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1021</v>
      </c>
      <c r="C392" t="s">
        <v>1023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STfESCE Smoothing Time for Electricity Sector Capital Expenditures.xlsx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1189</v>
      </c>
      <c r="C393" t="s">
        <v>1190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Peak Electricity Load.xlsx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1189</v>
      </c>
      <c r="C394" t="s">
        <v>1191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Peak Electricity Load.xlsx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1192</v>
      </c>
      <c r="C395" t="s">
        <v>1193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1192</v>
      </c>
      <c r="C396" t="s">
        <v>1194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1192</v>
      </c>
      <c r="C397" t="s">
        <v>1195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1192</v>
      </c>
      <c r="C398" t="s">
        <v>1196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1192</v>
      </c>
      <c r="C399" t="s">
        <v>1197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1192</v>
      </c>
      <c r="C400" t="s">
        <v>1198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1192</v>
      </c>
      <c r="C401" t="s">
        <v>1199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1192</v>
      </c>
      <c r="C402" t="s">
        <v>1200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1192</v>
      </c>
      <c r="C403" t="s">
        <v>1201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1192</v>
      </c>
      <c r="C404" t="s">
        <v>1202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1192</v>
      </c>
      <c r="C405" t="s">
        <v>1203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1192</v>
      </c>
      <c r="C406" t="s">
        <v>1330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1192</v>
      </c>
      <c r="C407" t="s">
        <v>1331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1192</v>
      </c>
      <c r="C408" t="s">
        <v>1204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1192</v>
      </c>
      <c r="C409" t="s">
        <v>1205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1192</v>
      </c>
      <c r="C410" t="s">
        <v>1206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1192</v>
      </c>
      <c r="C411" t="s">
        <v>1207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1192</v>
      </c>
      <c r="C412" t="s">
        <v>1208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1192</v>
      </c>
      <c r="C413" t="s">
        <v>1209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1192</v>
      </c>
      <c r="C414" t="s">
        <v>1210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1192</v>
      </c>
      <c r="C415" t="s">
        <v>1211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1192</v>
      </c>
      <c r="C416" t="s">
        <v>1398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1192</v>
      </c>
      <c r="C417" t="s">
        <v>1212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1192</v>
      </c>
      <c r="C418" t="s">
        <v>1332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1192</v>
      </c>
      <c r="C419" t="s">
        <v>1213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1192</v>
      </c>
      <c r="C420" t="s">
        <v>1214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1192</v>
      </c>
      <c r="C421" t="s">
        <v>1215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1399</v>
      </c>
      <c r="C422" t="s">
        <v>1400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Transmission and Distribution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1399</v>
      </c>
      <c r="C423" t="s">
        <v>1401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Transmission and Distribution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1399</v>
      </c>
      <c r="C424" t="s">
        <v>1402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Transmission and Distribution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1399</v>
      </c>
      <c r="C425" t="s">
        <v>1403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1399</v>
      </c>
      <c r="C426" t="s">
        <v>1404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1405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Trans Const Cost per Unit New Electricity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Trans Const Cost per Unit New Electricity Capacity.xlsx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159</v>
      </c>
      <c r="C429" t="s">
        <v>160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Water Use by Power Plant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159</v>
      </c>
      <c r="C430" t="s">
        <v>161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Water Use by Power Plant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159</v>
      </c>
      <c r="C431" t="s">
        <v>162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Water Use by Power Plant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163</v>
      </c>
      <c r="B432" t="s">
        <v>164</v>
      </c>
      <c r="C432" t="s">
        <v>165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CO2 Sequestered Globally.xlsx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163</v>
      </c>
      <c r="B433" t="s">
        <v>164</v>
      </c>
      <c r="C433" t="s">
        <v>166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CO2 Sequestered Globally.xlsx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163</v>
      </c>
      <c r="B434" t="s">
        <v>164</v>
      </c>
      <c r="C434" t="s">
        <v>1408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CO2 Sequestered Globally.xlsx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163</v>
      </c>
      <c r="B435" t="s">
        <v>167</v>
      </c>
      <c r="C435" t="s">
        <v>168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Global Battery Storage Cap.xlsx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163</v>
      </c>
      <c r="B436" t="s">
        <v>167</v>
      </c>
      <c r="C436" t="s">
        <v>169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Global Battery Storage Cap.xlsx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163</v>
      </c>
      <c r="B437" t="s">
        <v>167</v>
      </c>
      <c r="C437" t="s">
        <v>738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Global Battery Storage Cap.xlsx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170</v>
      </c>
      <c r="C438" t="s">
        <v>171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Solar and Wind Cap.xlsx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170</v>
      </c>
      <c r="C439" t="s">
        <v>172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Solar and Wind Cap.xlsx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170</v>
      </c>
      <c r="C440" t="s">
        <v>1216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Solar and Wind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739</v>
      </c>
      <c r="C441" t="s">
        <v>740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 of Tech Outside Modeled Region Affecting Endo Learning.xlsx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739</v>
      </c>
      <c r="C442" t="s">
        <v>741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 of Tech Outside Modeled Region Affecting Endo Learning.xlsx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173</v>
      </c>
      <c r="C443" t="s">
        <v>174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Battery Cost per Doubling of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173</v>
      </c>
      <c r="C444" t="s">
        <v>175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Battery Cost per Doubling of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176</v>
      </c>
      <c r="C445" t="s">
        <v>177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Decline in Cap Cost per Doubling of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176</v>
      </c>
      <c r="C446" t="s">
        <v>178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Perc Decline in Cap Cost per Doubling of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179</v>
      </c>
      <c r="C447" t="s">
        <v>180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CCS Eqpt Cost per Doubling of Capacity.xlsx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179</v>
      </c>
      <c r="C448" t="s">
        <v>181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CCS Eqpt Cost per Doubling of Capacity.xlsx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182</v>
      </c>
      <c r="B449" t="s">
        <v>779</v>
      </c>
      <c r="C449" t="s">
        <v>780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Carbon Tax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182</v>
      </c>
      <c r="B450" t="s">
        <v>779</v>
      </c>
      <c r="C450" t="s">
        <v>781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Carbon Tax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182</v>
      </c>
      <c r="B451" t="s">
        <v>782</v>
      </c>
      <c r="C451" t="s">
        <v>783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182</v>
      </c>
      <c r="B452" t="s">
        <v>782</v>
      </c>
      <c r="C452" t="s">
        <v>790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182</v>
      </c>
      <c r="B453" t="s">
        <v>782</v>
      </c>
      <c r="C453" t="s">
        <v>791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182</v>
      </c>
      <c r="B454" t="s">
        <v>782</v>
      </c>
      <c r="C454" t="s">
        <v>792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182</v>
      </c>
      <c r="B455" t="s">
        <v>782</v>
      </c>
      <c r="C455" t="s">
        <v>793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182</v>
      </c>
      <c r="B456" t="s">
        <v>782</v>
      </c>
      <c r="C456" t="s">
        <v>794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182</v>
      </c>
      <c r="B457" t="s">
        <v>782</v>
      </c>
      <c r="C457" t="s">
        <v>795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182</v>
      </c>
      <c r="B458" t="s">
        <v>782</v>
      </c>
      <c r="C458" t="s">
        <v>796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182</v>
      </c>
      <c r="B459" t="s">
        <v>782</v>
      </c>
      <c r="C459" t="s">
        <v>797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182</v>
      </c>
      <c r="B460" t="s">
        <v>782</v>
      </c>
      <c r="C460" t="s">
        <v>798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182</v>
      </c>
      <c r="B461" t="s">
        <v>782</v>
      </c>
      <c r="C461" t="s">
        <v>799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782</v>
      </c>
      <c r="C462" t="s">
        <v>800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782</v>
      </c>
      <c r="C463" t="s">
        <v>801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782</v>
      </c>
      <c r="C464" t="s">
        <v>802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782</v>
      </c>
      <c r="C465" t="s">
        <v>803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782</v>
      </c>
      <c r="C466" t="s">
        <v>804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782</v>
      </c>
      <c r="C467" t="s">
        <v>805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782</v>
      </c>
      <c r="C468" t="s">
        <v>806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782</v>
      </c>
      <c r="C469" t="s">
        <v>807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808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809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810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811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812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813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814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815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816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817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818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819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820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821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822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824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825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826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827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828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830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831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183</v>
      </c>
      <c r="C494" t="s">
        <v>184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Fuel Production Imports and Exports.xlsx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183</v>
      </c>
      <c r="C495" t="s">
        <v>185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Production Imports and Exports.xlsx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183</v>
      </c>
      <c r="C496" t="s">
        <v>186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Production Imports and Exports.xlsx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183</v>
      </c>
      <c r="C497" t="s">
        <v>187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188</v>
      </c>
      <c r="C498" t="s">
        <v>189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Subsidies.xlsx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188</v>
      </c>
      <c r="C499" t="s">
        <v>190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Subsidies.xlsx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188</v>
      </c>
      <c r="C500" t="s">
        <v>191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Subsidies.xlsx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188</v>
      </c>
      <c r="C501" t="s">
        <v>1217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192</v>
      </c>
      <c r="C502" t="s">
        <v>193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Export Tax Rate by Fuel.xlsx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192</v>
      </c>
      <c r="C503" t="s">
        <v>194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Export Tax Rate by Fuel.xlsx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900</v>
      </c>
      <c r="C504" t="s">
        <v>901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Fractions of Products That are Fuels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900</v>
      </c>
      <c r="C505" t="s">
        <v>902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Fractions of Products That are Fuels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989</v>
      </c>
      <c r="C506" t="s">
        <v>990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Fuel Prod Imp Exp Balancing Priorities.xlsx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989</v>
      </c>
      <c r="C507" t="s">
        <v>991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Fuel Prod Imp Exp Balancing Priorities.xlsx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1218</v>
      </c>
      <c r="C508" t="s">
        <v>1219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Fuel Surcharge Perc by Power Plant Type.xlsx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1218</v>
      </c>
      <c r="C509" t="s">
        <v>1220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Fuel Surcharge Perc by Power Plant Type.xlsx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195</v>
      </c>
      <c r="C510" t="s">
        <v>196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GWP by Pollutant by Timeframe.xlsx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195</v>
      </c>
      <c r="C511" t="s">
        <v>197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GWP by Pollutant by Timeframe.xlsx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198</v>
      </c>
      <c r="C512" t="s">
        <v>199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Intnl Market Fuel Price by Fuel Type.xlsx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198</v>
      </c>
      <c r="C513" t="s">
        <v>200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Intnl Market Fuel Price by Fuel Type.xlsx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201</v>
      </c>
      <c r="C514" t="s">
        <v>202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201</v>
      </c>
      <c r="C515" t="s">
        <v>203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204</v>
      </c>
      <c r="C516" t="s">
        <v>205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Max Perc Inc in Fuel Imports.xlsx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204</v>
      </c>
      <c r="C517" t="s">
        <v>206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Max Perc Inc in Fuel Imports.xlsx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207</v>
      </c>
      <c r="C518" t="s">
        <v>208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Production.xlsx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207</v>
      </c>
      <c r="C519" t="s">
        <v>209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Production.xlsx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210</v>
      </c>
      <c r="C520" t="s">
        <v>211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210</v>
      </c>
      <c r="C521" t="s">
        <v>212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210</v>
      </c>
      <c r="C522" t="s">
        <v>903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210</v>
      </c>
      <c r="C523" t="s">
        <v>213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210</v>
      </c>
      <c r="C524" t="s">
        <v>214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210</v>
      </c>
      <c r="C525" t="s">
        <v>215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218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220</v>
      </c>
      <c r="C530" t="s">
        <v>221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220</v>
      </c>
      <c r="C531" t="s">
        <v>222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220</v>
      </c>
      <c r="C532" t="s">
        <v>904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220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220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220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228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230</v>
      </c>
      <c r="C540" t="s">
        <v>231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of Fuel Demand Changes that Affect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230</v>
      </c>
      <c r="C541" t="s">
        <v>232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of Fuel Demand Changes that Affect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742</v>
      </c>
      <c r="C542" t="s">
        <v>743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Quantization Size for Energy.xlsx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742</v>
      </c>
      <c r="C543" t="s">
        <v>744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Quantization Size for Energy.xlsx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646</v>
      </c>
      <c r="B544" t="s">
        <v>647</v>
      </c>
      <c r="C544" t="s">
        <v>648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Direct Air Capture Data.xlsx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646</v>
      </c>
      <c r="B545" t="s">
        <v>647</v>
      </c>
      <c r="C545" t="s">
        <v>649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Direct Air Capture Data.xlsx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646</v>
      </c>
      <c r="B546" t="s">
        <v>647</v>
      </c>
      <c r="C546" t="s">
        <v>650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Direct Air Capture Data.xlsx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646</v>
      </c>
      <c r="B547" t="s">
        <v>647</v>
      </c>
      <c r="C547" t="s">
        <v>651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233</v>
      </c>
      <c r="B548" t="s">
        <v>234</v>
      </c>
      <c r="C548" t="s">
        <v>235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Hydrogen Production Shr by Pathway.xlsx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233</v>
      </c>
      <c r="B549" t="s">
        <v>234</v>
      </c>
      <c r="C549" t="s">
        <v>236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Hydrogen Production Shr by Pathway.xlsx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233</v>
      </c>
      <c r="B550" t="s">
        <v>237</v>
      </c>
      <c r="C550" t="s">
        <v>238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Electrolyzer Hydrogen Production per Unit Capacity.xlsx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233</v>
      </c>
      <c r="B551" t="s">
        <v>237</v>
      </c>
      <c r="C551" t="s">
        <v>239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Electrolyzer Hydrogen Production per Unit Capacity.xlsx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233</v>
      </c>
      <c r="B552" t="s">
        <v>240</v>
      </c>
      <c r="C552" t="s">
        <v>241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Hydgn Production Eff by Pathway.xlsx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233</v>
      </c>
      <c r="B553" t="s">
        <v>240</v>
      </c>
      <c r="C553" t="s">
        <v>242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Hydgn Production Eff by Pathway.xlsx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243</v>
      </c>
      <c r="C554" t="s">
        <v>244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Hydrogen Production Eqpt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243</v>
      </c>
      <c r="C555" t="s">
        <v>245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Production Eqpt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243</v>
      </c>
      <c r="C556" t="s">
        <v>246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Production Eqpt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247</v>
      </c>
      <c r="C557" t="s">
        <v>248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Hydgn Prod Perc Excess Cap by Pathway.xlsx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247</v>
      </c>
      <c r="C558" t="s">
        <v>249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Hydgn Prod Perc Excess Cap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250</v>
      </c>
      <c r="C559" t="s">
        <v>251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Pathway to Fuel Mappings.xlsx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250</v>
      </c>
      <c r="C560" t="s">
        <v>252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Pathway to Fuel Mappings.xlsx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253</v>
      </c>
      <c r="C561" t="s">
        <v>254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Recipient Hydrogen Pathway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253</v>
      </c>
      <c r="C562" t="s">
        <v>255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Hydrogen Pathway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867</v>
      </c>
      <c r="C563" t="s">
        <v>868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Hydrogen Production Capital Costs by Recipient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867</v>
      </c>
      <c r="C564" t="s">
        <v>869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Hydrogen Production Capital Costs by Recipient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256</v>
      </c>
      <c r="B565" t="s">
        <v>257</v>
      </c>
      <c r="C565" t="s">
        <v>258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256</v>
      </c>
      <c r="B566" t="s">
        <v>257</v>
      </c>
      <c r="C566" t="s">
        <v>259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256</v>
      </c>
      <c r="B567" t="s">
        <v>257</v>
      </c>
      <c r="C567" t="s">
        <v>260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256</v>
      </c>
      <c r="B568" t="s">
        <v>257</v>
      </c>
      <c r="C568" t="s">
        <v>261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256</v>
      </c>
      <c r="B569" t="s">
        <v>257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256</v>
      </c>
      <c r="B570" t="s">
        <v>257</v>
      </c>
      <c r="C570" t="s">
        <v>263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264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265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905</v>
      </c>
      <c r="C576" t="s">
        <v>906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905</v>
      </c>
      <c r="C577" t="s">
        <v>907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905</v>
      </c>
      <c r="C578" t="s">
        <v>908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905</v>
      </c>
      <c r="C579" t="s">
        <v>909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905</v>
      </c>
      <c r="C580" t="s">
        <v>910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905</v>
      </c>
      <c r="C581" t="s">
        <v>911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1221</v>
      </c>
      <c r="C590" t="s">
        <v>1222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Perc Fuel Use by Industrial Process.xlsx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1221</v>
      </c>
      <c r="C591" t="s">
        <v>1409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Perc Fuel Use by Industrial Process.xlsx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1221</v>
      </c>
      <c r="C592" t="s">
        <v>1410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Perc Fuel Use by Industrial Process.xlsx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269</v>
      </c>
      <c r="C593" t="s">
        <v>270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269</v>
      </c>
      <c r="C594" t="s">
        <v>920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269</v>
      </c>
      <c r="C595" t="s">
        <v>921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269</v>
      </c>
      <c r="C596" t="s">
        <v>922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269</v>
      </c>
      <c r="C597" t="s">
        <v>923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269</v>
      </c>
      <c r="C598" t="s">
        <v>924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925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271</v>
      </c>
      <c r="C604" t="s">
        <v>272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Shr of Ag Indst Going to Anml Prdcts.xlsx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271</v>
      </c>
      <c r="C605" t="s">
        <v>273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Shr of Ag Indst Going to Anml Prdcts.xlsx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274</v>
      </c>
      <c r="C606" t="s">
        <v>275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Cost to Impl Eff Policy per Unit E Saved or Shifted.xlsx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274</v>
      </c>
      <c r="C607" t="s">
        <v>276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Cost to Impl Eff Policy per Unit E Saved or Shifted.xlsx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870</v>
      </c>
      <c r="C608" t="s">
        <v>871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Elasticities of Demand for Industrial Products.xlsx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870</v>
      </c>
      <c r="C609" t="s">
        <v>872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Elasticities of Demand for Industrial Products.xlsx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277</v>
      </c>
      <c r="C610" t="s">
        <v>278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Foreign Leakage Rate by Industry.xlsx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277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Foreign Leakage Rate by Industry.xlsx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1024</v>
      </c>
      <c r="C612" t="s">
        <v>1025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IESE Import Export Substitution Elasticities.xlsx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1024</v>
      </c>
      <c r="C613" t="s">
        <v>1026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IESE Import Export Substitution Elasticities.xlsx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930</v>
      </c>
      <c r="C614" t="s">
        <v>931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Indst Fuels Subject to Fuel Shifting.xlsx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930</v>
      </c>
      <c r="C615" t="s">
        <v>932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Indst Fuels Subject to Fuel Shifting.xlsx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280</v>
      </c>
      <c r="C616" t="s">
        <v>281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Methane Heating Value.xlsx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280</v>
      </c>
      <c r="C617" t="s">
        <v>282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Methane Heating Value.xlsx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283</v>
      </c>
      <c r="C618" t="s">
        <v>1027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283</v>
      </c>
      <c r="C619" t="s">
        <v>652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283</v>
      </c>
      <c r="C620" t="s">
        <v>1028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283</v>
      </c>
      <c r="C621" t="s">
        <v>992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283</v>
      </c>
      <c r="C622" t="s">
        <v>653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283</v>
      </c>
      <c r="C623" t="s">
        <v>654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655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657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658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660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933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934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935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936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1029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662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663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284</v>
      </c>
      <c r="C638" t="s">
        <v>285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Perc Indst Fuel Use Reduction for Elec.xlsx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284</v>
      </c>
      <c r="C639" t="s">
        <v>286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Perc Indst Fuel Use Reduction for Elec.xlsx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287</v>
      </c>
      <c r="C640" t="s">
        <v>288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Reduction in Fuel Use from Early Retirement.xlsx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287</v>
      </c>
      <c r="C641" t="s">
        <v>289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Reduction in Fuel Use from Early Retirement.xlsx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290</v>
      </c>
      <c r="C642" t="s">
        <v>291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Pot Perc Red in Fuel Use fr Inc Cogen and WHR.xlsx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290</v>
      </c>
      <c r="C643" t="s">
        <v>292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Pot Perc Red in Fuel Use fr Inc Cogen and WHR.xlsx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293</v>
      </c>
      <c r="C644" t="s">
        <v>294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 in Fuel Use fr Impr Inst and Integ of Eqpt.xlsx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293</v>
      </c>
      <c r="C645" t="s">
        <v>295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 in Fuel Use fr Impr Inst and Integ of Eqpt.xlsx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1030</v>
      </c>
      <c r="C646" t="s">
        <v>1031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Ratio of Nutr Eqiv Plant to Anim Products Prd per Unit Land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1030</v>
      </c>
      <c r="C647" t="s">
        <v>1032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Ratio of Nutr Eqiv Plant to Anim Products Prd per Unit Land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852</v>
      </c>
      <c r="C648" t="s">
        <v>853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Capital and OM Spending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852</v>
      </c>
      <c r="C649" t="s">
        <v>854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Capital and OM Spending by ISIC Code.xlsx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873</v>
      </c>
      <c r="C650" t="s">
        <v>874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Shr of Cng in Indst Expenses Passed Thr to Buyers.xlsx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873</v>
      </c>
      <c r="C651" t="s">
        <v>875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Shr of Cng in Indst Expenses Passed Thr to Buyers.xlsx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876</v>
      </c>
      <c r="C652" t="s">
        <v>877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Process Emis Abatement Spending by ISIC Code.xlsx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876</v>
      </c>
      <c r="C653" t="s">
        <v>878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Process Emis Abatement Spending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745</v>
      </c>
      <c r="B654" t="s">
        <v>1033</v>
      </c>
      <c r="C654" t="s">
        <v>1034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Dmst Cnt Shr of Cnsmptn and Exp Shr of Prdtn by ISIC Code.xlsx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745</v>
      </c>
      <c r="B655" t="s">
        <v>1033</v>
      </c>
      <c r="C655" t="s">
        <v>993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Dmst Cnt Shr of Cnsmptn and Exp Shr of Prdtn by ISIC Code.xlsx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745</v>
      </c>
      <c r="B656" t="s">
        <v>1033</v>
      </c>
      <c r="C656" t="s">
        <v>1035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Dmst Cnt Shr of Cnsmptn and Exp Shr of Prdtn by ISIC Code.xlsx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745</v>
      </c>
      <c r="B657" t="s">
        <v>1411</v>
      </c>
      <c r="C657" t="s">
        <v>1412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Employment and Compensation Projections.xlsx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745</v>
      </c>
      <c r="B658" t="s">
        <v>1411</v>
      </c>
      <c r="C658" t="s">
        <v>1413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Employment and Compensation Projections.xlsx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745</v>
      </c>
      <c r="B659" t="s">
        <v>1411</v>
      </c>
      <c r="C659" t="s">
        <v>1414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Employment and Compensation Projections.xlsx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745</v>
      </c>
      <c r="B660" t="s">
        <v>746</v>
      </c>
      <c r="C660" t="s">
        <v>747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by ISIC Code.xlsx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25">
      <c r="A661" t="s">
        <v>745</v>
      </c>
      <c r="B661" t="s">
        <v>746</v>
      </c>
      <c r="C661" t="s">
        <v>748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by ISIC Code.xlsx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745</v>
      </c>
      <c r="B662" t="s">
        <v>749</v>
      </c>
      <c r="C662" t="s">
        <v>750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Employee Compensation by ISIC Code.xlsx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25">
      <c r="A663" t="s">
        <v>745</v>
      </c>
      <c r="B663" t="s">
        <v>749</v>
      </c>
      <c r="C663" t="s">
        <v>751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Employee Compensation by ISIC Code.xlsx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745</v>
      </c>
      <c r="B664" t="s">
        <v>643</v>
      </c>
      <c r="C664" t="s">
        <v>644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GDP.xlsx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745</v>
      </c>
      <c r="B665" t="s">
        <v>643</v>
      </c>
      <c r="C665" t="s">
        <v>645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GDP.xlsx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745</v>
      </c>
      <c r="B666" t="s">
        <v>752</v>
      </c>
      <c r="C666" t="s">
        <v>753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Output by ISIC Code.xlsx</v>
      </c>
      <c r="I666" s="5">
        <f>IFERROR(INDEX(About!$D:$D,MATCH(Sheet1!H666,About!$C:$C,0),1),0)</f>
        <v>1</v>
      </c>
      <c r="J666" s="6">
        <f t="shared" si="23"/>
        <v>0</v>
      </c>
    </row>
    <row r="667" spans="1:10" x14ac:dyDescent="0.25">
      <c r="A667" t="s">
        <v>745</v>
      </c>
      <c r="B667" t="s">
        <v>752</v>
      </c>
      <c r="C667" t="s">
        <v>754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Output by ISIC Code.xlsx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745</v>
      </c>
      <c r="B668" t="s">
        <v>1223</v>
      </c>
      <c r="C668" t="s">
        <v>1224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Cng in Output and Domestic Content Share by ISIC Code.xlsx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745</v>
      </c>
      <c r="B669" t="s">
        <v>1223</v>
      </c>
      <c r="C669" t="s">
        <v>1225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Perc Cng in Output and Domestic Content Share by ISIC Code.xlsx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745</v>
      </c>
      <c r="B670" t="s">
        <v>1223</v>
      </c>
      <c r="C670" t="s">
        <v>994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Perc Cng in Output and Domestic Content Share by ISIC Code.xlsx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745</v>
      </c>
      <c r="B671" t="s">
        <v>755</v>
      </c>
      <c r="C671" t="s">
        <v>756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Value Added by ISIC Code.xlsx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745</v>
      </c>
      <c r="B672" t="s">
        <v>755</v>
      </c>
      <c r="C672" t="s">
        <v>757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Value Added by ISIC Code.xlsx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745</v>
      </c>
      <c r="B673" t="s">
        <v>758</v>
      </c>
      <c r="C673" t="s">
        <v>759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Domestic Leontief Inverse Matrix.xlsx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745</v>
      </c>
      <c r="B674" t="s">
        <v>758</v>
      </c>
      <c r="C674" t="s">
        <v>760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Domestic Leontief Inverse Matrix.xlsx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745</v>
      </c>
      <c r="B675" t="s">
        <v>995</v>
      </c>
      <c r="C675" t="s">
        <v>996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745</v>
      </c>
      <c r="B676" t="s">
        <v>995</v>
      </c>
      <c r="C676" t="s">
        <v>997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745</v>
      </c>
      <c r="B677" t="s">
        <v>995</v>
      </c>
      <c r="C677" t="s">
        <v>998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745</v>
      </c>
      <c r="B678" t="s">
        <v>995</v>
      </c>
      <c r="C678" t="s">
        <v>999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745</v>
      </c>
      <c r="B679" t="s">
        <v>995</v>
      </c>
      <c r="C679" t="s">
        <v>1000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745</v>
      </c>
      <c r="B680" t="s">
        <v>995</v>
      </c>
      <c r="C680" t="s">
        <v>1001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745</v>
      </c>
      <c r="B681" t="s">
        <v>995</v>
      </c>
      <c r="C681" t="s">
        <v>1002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745</v>
      </c>
      <c r="B682" t="s">
        <v>995</v>
      </c>
      <c r="C682" t="s">
        <v>1003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745</v>
      </c>
      <c r="B683" t="s">
        <v>995</v>
      </c>
      <c r="C683" t="s">
        <v>1004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745</v>
      </c>
      <c r="B684" t="s">
        <v>995</v>
      </c>
      <c r="C684" t="s">
        <v>1005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745</v>
      </c>
      <c r="B685" t="s">
        <v>995</v>
      </c>
      <c r="C685" t="s">
        <v>1006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745</v>
      </c>
      <c r="B686" t="s">
        <v>995</v>
      </c>
      <c r="C686" t="s">
        <v>1007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745</v>
      </c>
      <c r="B687" t="s">
        <v>995</v>
      </c>
      <c r="C687" t="s">
        <v>1008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995</v>
      </c>
      <c r="C688" t="s">
        <v>1009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745</v>
      </c>
      <c r="B689" t="s">
        <v>995</v>
      </c>
      <c r="C689" t="s">
        <v>1010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745</v>
      </c>
      <c r="B690" t="s">
        <v>995</v>
      </c>
      <c r="C690" t="s">
        <v>1011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855</v>
      </c>
      <c r="C691" t="s">
        <v>856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Frac of Goods Purchased by Entity and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855</v>
      </c>
      <c r="C692" t="s">
        <v>857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Frac of Goods Purchased by Entity and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745</v>
      </c>
      <c r="B693" t="s">
        <v>855</v>
      </c>
      <c r="C693" t="s">
        <v>882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Frac of Goods Purchased by Entity and ISIC Code.xlsx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25">
      <c r="A694" t="s">
        <v>745</v>
      </c>
      <c r="B694" t="s">
        <v>937</v>
      </c>
      <c r="C694" t="s">
        <v>938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to Producing ISIC Code Map.xlsx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937</v>
      </c>
      <c r="C695" t="s">
        <v>939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Fuel to Producing ISIC Code Map.xlsx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745</v>
      </c>
      <c r="B696" t="s">
        <v>883</v>
      </c>
      <c r="C696" t="s">
        <v>884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Govt and Hhld Expenditures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883</v>
      </c>
      <c r="C697" t="s">
        <v>885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Govt and Hhld Expenditures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745</v>
      </c>
      <c r="B698" t="s">
        <v>883</v>
      </c>
      <c r="C698" t="s">
        <v>886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Govt and Hhld Expenditures by ISIC Code.xlsx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745</v>
      </c>
      <c r="B699" t="s">
        <v>879</v>
      </c>
      <c r="C699" t="s">
        <v>880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Household Savings Rate.xlsx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745</v>
      </c>
      <c r="B700" t="s">
        <v>879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Household Savings Rate.xlsx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784</v>
      </c>
      <c r="C701" t="s">
        <v>785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Interest Rate on National Debt.xlsx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784</v>
      </c>
      <c r="C702" t="s">
        <v>786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Interest Rate on National Debt.xlsx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745</v>
      </c>
      <c r="B703" t="s">
        <v>761</v>
      </c>
      <c r="C703" t="s">
        <v>762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Labor Productivity Growth Rate by ISIC Code.xlsx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745</v>
      </c>
      <c r="B704" t="s">
        <v>761</v>
      </c>
      <c r="C704" t="s">
        <v>763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Labor Productivity Growth Rate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745</v>
      </c>
      <c r="B705" t="s">
        <v>787</v>
      </c>
      <c r="C705" t="s">
        <v>788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Perc of National Debt Held by Entity.xlsx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745</v>
      </c>
      <c r="B706" t="s">
        <v>787</v>
      </c>
      <c r="C706" t="s">
        <v>789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Perc of National Debt Held by Entity.xlsx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745</v>
      </c>
      <c r="B707" t="s">
        <v>1012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Total Leontief Inverse Matrix.xlsx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1012</v>
      </c>
      <c r="C708" t="s">
        <v>1014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Total Leontief Inverse Matrix.xlsx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25">
      <c r="A709" t="s">
        <v>745</v>
      </c>
      <c r="B709" t="s">
        <v>764</v>
      </c>
      <c r="C709" t="s">
        <v>765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Union Representation Perc by ISIC Code.xlsx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745</v>
      </c>
      <c r="B710" t="s">
        <v>764</v>
      </c>
      <c r="C710" t="s">
        <v>766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Union Representation Perc by ISIC Code.xlsx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745</v>
      </c>
      <c r="B711" t="s">
        <v>1036</v>
      </c>
      <c r="C711" t="s">
        <v>1037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VAT or Sales Tax Rate.xlsx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25">
      <c r="A712" t="s">
        <v>745</v>
      </c>
      <c r="B712" t="s">
        <v>1036</v>
      </c>
      <c r="C712" t="s">
        <v>1038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VAT or Sales Tax Rate.xlsx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745</v>
      </c>
      <c r="B713" t="s">
        <v>296</v>
      </c>
      <c r="C713" t="s">
        <v>297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Worker Marg Income Tax Rate.xlsx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296</v>
      </c>
      <c r="C714" t="s">
        <v>298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Worker Marg Income Tax Rate.xlsx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299</v>
      </c>
      <c r="B715" t="s">
        <v>300</v>
      </c>
      <c r="C715" t="s">
        <v>301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Annual Ongoing Cost of Land Use Pol per Unit Area.xlsx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299</v>
      </c>
      <c r="B716" t="s">
        <v>300</v>
      </c>
      <c r="C716" t="s">
        <v>302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Annual Ongoing Cost of Land Use Pol per Unit Area.xlsx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299</v>
      </c>
      <c r="B717" t="s">
        <v>303</v>
      </c>
      <c r="C717" t="s">
        <v>304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LULUCF Anthro Pollutant Emis.xlsx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299</v>
      </c>
      <c r="B718" t="s">
        <v>303</v>
      </c>
      <c r="C718" t="s">
        <v>305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LULUCF Anthro Pollutant Emis.xlsx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299</v>
      </c>
      <c r="B719" t="s">
        <v>306</v>
      </c>
      <c r="C719" t="s">
        <v>307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CO2 Abated per Unit Land Area by Impr For Mgmt.xlsx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299</v>
      </c>
      <c r="B720" t="s">
        <v>306</v>
      </c>
      <c r="C720" t="s">
        <v>308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Abated per Unit Land Area by Impr For Mgmt.xlsx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309</v>
      </c>
      <c r="C721" t="s">
        <v>310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Chg in Land Val per Unit Area Affected by Pol.xlsx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309</v>
      </c>
      <c r="C722" t="s">
        <v>311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Chg in Land Val per Unit Area Affected by Pol.xlsx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312</v>
      </c>
      <c r="C723" t="s">
        <v>313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Sequestered per Unit Land Area per Year by Pol.xlsx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312</v>
      </c>
      <c r="C724" t="s">
        <v>314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CO2 Sequestered per Unit Land Area per Year by Pol.xlsx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315</v>
      </c>
      <c r="C725" t="s">
        <v>316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Fraction of Forests Owned by Entity.xlsx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315</v>
      </c>
      <c r="C726" t="s">
        <v>317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Fraction of Forests Owned by Entity.xlsx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318</v>
      </c>
      <c r="C727" t="s">
        <v>319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Impl Cost of Land Use Policies per Unit Area.xlsx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318</v>
      </c>
      <c r="C728" t="s">
        <v>320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Impl Cost of Land Use Policies per Unit Area.xlsx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321</v>
      </c>
      <c r="C729" t="s">
        <v>322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Potential Land Area Newly Affected by Pol in a Single Yr.xlsx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321</v>
      </c>
      <c r="C730" t="s">
        <v>323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Potential Land Area Newly Affected by Pol in a Single Yr.xlsx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324</v>
      </c>
      <c r="C731" t="s">
        <v>325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Rebound Pol Emis per Unit Avoided CO2 Emis.xlsx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324</v>
      </c>
      <c r="C732" t="s">
        <v>326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Rebound Pol Emis per Unit Avoided CO2 Emis.xlsx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340</v>
      </c>
      <c r="B733" t="s">
        <v>1066</v>
      </c>
      <c r="C733" t="s">
        <v>1226</v>
      </c>
      <c r="G733" t="str">
        <f t="shared" ref="G733:G775" si="26">RIGHT(C733,"4")</f>
        <v>l.py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340</v>
      </c>
      <c r="B734" t="s">
        <v>1066</v>
      </c>
      <c r="C734" t="s">
        <v>1067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340</v>
      </c>
      <c r="B735" t="s">
        <v>1066</v>
      </c>
      <c r="C735" t="s">
        <v>1068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340</v>
      </c>
      <c r="B736" t="s">
        <v>1066</v>
      </c>
      <c r="C736" t="s">
        <v>1069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1072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1080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1081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1082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1086</v>
      </c>
      <c r="G753" t="str">
        <f t="shared" si="26"/>
        <v>r.py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341</v>
      </c>
      <c r="C755" t="s">
        <v>342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Final Time.xlsx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341</v>
      </c>
      <c r="C756" t="s">
        <v>343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Final Time.xlsx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1415</v>
      </c>
      <c r="C757" t="s">
        <v>1416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FY Future Years.xlsx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1415</v>
      </c>
      <c r="C758" t="s">
        <v>1417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FY Future Years.xlsx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344</v>
      </c>
      <c r="C759" t="s">
        <v>345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Initial Time.xlsx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344</v>
      </c>
      <c r="C760" t="s">
        <v>346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Initial Time.xlsx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1227</v>
      </c>
      <c r="C761" t="s">
        <v>1228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Ann Impvmt in Bat Cap by Veh Type.xlsx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1227</v>
      </c>
      <c r="C762" t="s">
        <v>1229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 Impvmt in Bat Cap by Veh Type.xlsx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1227</v>
      </c>
      <c r="C763" t="s">
        <v>1230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1227</v>
      </c>
      <c r="C764" t="s">
        <v>1231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1227</v>
      </c>
      <c r="C765" t="s">
        <v>1232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347</v>
      </c>
      <c r="B766" t="s">
        <v>1039</v>
      </c>
      <c r="C766" t="s">
        <v>1040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Annual Vehicle Insurance Cost.xlsx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1039</v>
      </c>
      <c r="C767" t="s">
        <v>1041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Annual Vehicle Insurance Cost.xlsx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348</v>
      </c>
      <c r="C768" t="s">
        <v>349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Avg Vehicle Lifetime.xlsx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348</v>
      </c>
      <c r="C769" t="s">
        <v>350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Avg Vehicle Lifetime.xlsx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351</v>
      </c>
      <c r="C770" t="s">
        <v>352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Loading.xlsx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351</v>
      </c>
      <c r="C771" t="s">
        <v>353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Loading.xlsx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351</v>
      </c>
      <c r="C772" t="s">
        <v>354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351</v>
      </c>
      <c r="C773" t="s">
        <v>1418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351</v>
      </c>
      <c r="C774" t="s">
        <v>1419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1042</v>
      </c>
      <c r="C775" t="s">
        <v>1043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Annual Vehicle Licensing Registration and Property Tax Costs.xlsx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1042</v>
      </c>
      <c r="C776" t="s">
        <v>1044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Annual Vehicle Licensing Registration and Property Tax Costs.xlsx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682</v>
      </c>
      <c r="C777" t="s">
        <v>683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Maint Cost.xlsx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682</v>
      </c>
      <c r="C778" t="s">
        <v>684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Maint Cost.xlsx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682</v>
      </c>
      <c r="C779" t="s">
        <v>685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1333</v>
      </c>
      <c r="C780" t="s">
        <v>1334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Avg Veh Ownership Period.xlsx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1333</v>
      </c>
      <c r="C781" t="s">
        <v>1335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Avg Veh Ownership Period.xlsx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1045</v>
      </c>
      <c r="C782" t="s">
        <v>1046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Parking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1045</v>
      </c>
      <c r="C783" t="s">
        <v>1047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Parking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355</v>
      </c>
      <c r="C784" t="s">
        <v>356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Avg Annual Dist Traveled by Veh Type.xlsx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355</v>
      </c>
      <c r="C785" t="s">
        <v>357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Avg Annual Dist Traveled by Veh Type.xlsx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355</v>
      </c>
      <c r="C786" t="s">
        <v>358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355</v>
      </c>
      <c r="C787" t="s">
        <v>1420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355</v>
      </c>
      <c r="C788" t="s">
        <v>1421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359</v>
      </c>
      <c r="C789" t="s">
        <v>360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Cargo Dist Transported Relative to Start Yr.xlsx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359</v>
      </c>
      <c r="C790" t="s">
        <v>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Cargo Dist Transported Relative to Start Yr.xlsx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359</v>
      </c>
      <c r="C791" t="s">
        <v>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363</v>
      </c>
      <c r="C792" t="s">
        <v>364</v>
      </c>
      <c r="G792" t="str">
        <f t="shared" si="28"/>
        <v>xlsx</v>
      </c>
      <c r="H792" s="5">
        <f>IFERROR(IF(B792="FoPITY",INDEX(Customizations!$C$2:$C$19,MATCH(Sheet1!C792,Customizations!$B$2:$B$19,0),1),INDEX(About!C:C,MATCH(Sheet1!B792,About!B:B,0),1)),"")</f>
        <v>0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363</v>
      </c>
      <c r="C793" t="s">
        <v>365</v>
      </c>
      <c r="G793" t="str">
        <f t="shared" si="28"/>
        <v>.csv</v>
      </c>
      <c r="H793" s="5">
        <f>IFERROR(IF(B793="FoPITY",INDEX(Customizations!$C$2:$C$19,MATCH(Sheet1!C793,Customizations!$B$2:$B$19,0),1),INDEX(About!C:C,MATCH(Sheet1!B793,About!B:B,0),1)),"")</f>
        <v>0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363</v>
      </c>
      <c r="C794" t="s">
        <v>366</v>
      </c>
      <c r="G794" t="str">
        <f t="shared" si="28"/>
        <v>.csv</v>
      </c>
      <c r="H794" s="5">
        <f>IFERROR(IF(B794="FoPITY",INDEX(Customizations!$C$2:$C$19,MATCH(Sheet1!C794,Customizations!$B$2:$B$19,0),1),INDEX(About!C:C,MATCH(Sheet1!B794,About!B:B,0),1)),"")</f>
        <v>0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363</v>
      </c>
      <c r="C795" t="s">
        <v>367</v>
      </c>
      <c r="G795" t="str">
        <f t="shared" si="28"/>
        <v>.csv</v>
      </c>
      <c r="H795" s="5">
        <f>IFERROR(IF(B795="FoPITY",INDEX(Customizations!$C$2:$C$19,MATCH(Sheet1!C795,Customizations!$B$2:$B$19,0),1),INDEX(About!C:C,MATCH(Sheet1!B795,About!B:B,0),1)),"")</f>
        <v>0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363</v>
      </c>
      <c r="C796" t="s">
        <v>368</v>
      </c>
      <c r="G796" t="str">
        <f t="shared" si="28"/>
        <v>.csv</v>
      </c>
      <c r="H796" s="5">
        <f>IFERROR(IF(B796="FoPITY",INDEX(Customizations!$C$2:$C$19,MATCH(Sheet1!C796,Customizations!$B$2:$B$19,0),1),INDEX(About!C:C,MATCH(Sheet1!B796,About!B:B,0),1)),"")</f>
        <v>0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363</v>
      </c>
      <c r="C797" t="s">
        <v>369</v>
      </c>
      <c r="G797" t="str">
        <f t="shared" si="28"/>
        <v>.csv</v>
      </c>
      <c r="H797" s="5">
        <f>IFERROR(IF(B797="FoPITY",INDEX(Customizations!$C$2:$C$19,MATCH(Sheet1!C797,Customizations!$B$2:$B$19,0),1),INDEX(About!C:C,MATCH(Sheet1!B797,About!B:B,0),1)),"")</f>
        <v>0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370</v>
      </c>
      <c r="G798" t="str">
        <f t="shared" si="28"/>
        <v>.csv</v>
      </c>
      <c r="H798" s="5">
        <f>IFERROR(IF(B798="FoPITY",INDEX(Customizations!$C$2:$C$19,MATCH(Sheet1!C798,Customizations!$B$2:$B$19,0),1),INDEX(About!C:C,MATCH(Sheet1!B798,About!B:B,0),1)),"")</f>
        <v>0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371</v>
      </c>
      <c r="G799" t="str">
        <f t="shared" si="28"/>
        <v>.csv</v>
      </c>
      <c r="H799" s="5">
        <f>IFERROR(IF(B799="FoPITY",INDEX(Customizations!$C$2:$C$19,MATCH(Sheet1!C799,Customizations!$B$2:$B$19,0),1),INDEX(About!C:C,MATCH(Sheet1!B799,About!B:B,0),1)),"")</f>
        <v>0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372</v>
      </c>
      <c r="G800" t="str">
        <f t="shared" si="28"/>
        <v>.csv</v>
      </c>
      <c r="H800" s="5">
        <f>IFERROR(IF(B800="FoPITY",INDEX(Customizations!$C$2:$C$19,MATCH(Sheet1!C800,Customizations!$B$2:$B$19,0),1),INDEX(About!C:C,MATCH(Sheet1!B800,About!B:B,0),1)),"")</f>
        <v>0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373</v>
      </c>
      <c r="G801" t="str">
        <f t="shared" si="28"/>
        <v>.csv</v>
      </c>
      <c r="H801" s="5">
        <f>IFERROR(IF(B801="FoPITY",INDEX(Customizations!$C$2:$C$19,MATCH(Sheet1!C801,Customizations!$B$2:$B$19,0),1),INDEX(About!C:C,MATCH(Sheet1!B801,About!B:B,0),1)),"")</f>
        <v>0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374</v>
      </c>
      <c r="G802" t="str">
        <f t="shared" si="28"/>
        <v>.csv</v>
      </c>
      <c r="H802" s="5">
        <f>IFERROR(IF(B802="FoPITY",INDEX(Customizations!$C$2:$C$19,MATCH(Sheet1!C802,Customizations!$B$2:$B$19,0),1),INDEX(About!C:C,MATCH(Sheet1!B802,About!B:B,0),1)),"")</f>
        <v>0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375</v>
      </c>
      <c r="G803" t="str">
        <f t="shared" si="28"/>
        <v>.csv</v>
      </c>
      <c r="H803" s="5">
        <f>IFERROR(IF(B803="FoPITY",INDEX(Customizations!$C$2:$C$19,MATCH(Sheet1!C803,Customizations!$B$2:$B$19,0),1),INDEX(About!C:C,MATCH(Sheet1!B803,About!B:B,0),1)),"")</f>
        <v>0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376</v>
      </c>
      <c r="G804" t="str">
        <f t="shared" si="28"/>
        <v>.csv</v>
      </c>
      <c r="H804" s="5">
        <f>IFERROR(IF(B804="FoPITY",INDEX(Customizations!$C$2:$C$19,MATCH(Sheet1!C804,Customizations!$B$2:$B$19,0),1),INDEX(About!C:C,MATCH(Sheet1!B804,About!B:B,0),1)),"")</f>
        <v>0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377</v>
      </c>
      <c r="C805" t="s">
        <v>378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LCFS Perc.xlsx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377</v>
      </c>
      <c r="C806" t="s">
        <v>379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LCFS Perc.xlsx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1233</v>
      </c>
      <c r="C807" t="s">
        <v>1234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Number of EV Chargers.xlsx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1233</v>
      </c>
      <c r="C808" t="s">
        <v>1235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Number of EV Chargers.xlsx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1236</v>
      </c>
      <c r="C809" t="s">
        <v>1237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Gas Pumps.xlsx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1236</v>
      </c>
      <c r="C810" t="s">
        <v>1238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Gas Pumps.xlsx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380</v>
      </c>
      <c r="C811" t="s">
        <v>381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380</v>
      </c>
      <c r="C812" t="s">
        <v>382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380</v>
      </c>
      <c r="C813" t="s">
        <v>383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380</v>
      </c>
      <c r="C814" t="s">
        <v>384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380</v>
      </c>
      <c r="C815" t="s">
        <v>385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380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394</v>
      </c>
      <c r="C824" t="s">
        <v>395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394</v>
      </c>
      <c r="C825" t="s">
        <v>396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394</v>
      </c>
      <c r="C826" t="s">
        <v>397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394</v>
      </c>
      <c r="C827" t="s">
        <v>398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394</v>
      </c>
      <c r="C828" t="s">
        <v>399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394</v>
      </c>
      <c r="C829" t="s">
        <v>400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394</v>
      </c>
      <c r="C830" t="s">
        <v>401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347</v>
      </c>
      <c r="B831" t="s">
        <v>394</v>
      </c>
      <c r="C831" t="s">
        <v>402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347</v>
      </c>
      <c r="B832" t="s">
        <v>394</v>
      </c>
      <c r="C832" t="s">
        <v>403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347</v>
      </c>
      <c r="B833" t="s">
        <v>394</v>
      </c>
      <c r="C833" t="s">
        <v>404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347</v>
      </c>
      <c r="B834" t="s">
        <v>394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347</v>
      </c>
      <c r="B835" t="s">
        <v>394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347</v>
      </c>
      <c r="B836" t="s">
        <v>394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347</v>
      </c>
      <c r="B837" t="s">
        <v>394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347</v>
      </c>
      <c r="B838" t="s">
        <v>394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347</v>
      </c>
      <c r="B839" t="s">
        <v>394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347</v>
      </c>
      <c r="B840" t="s">
        <v>394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394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394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394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394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394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394</v>
      </c>
      <c r="C846" t="s">
        <v>417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394</v>
      </c>
      <c r="C847" t="s">
        <v>418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394</v>
      </c>
      <c r="C848" t="s">
        <v>419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394</v>
      </c>
      <c r="C849" t="s">
        <v>420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394</v>
      </c>
      <c r="C850" t="s">
        <v>421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394</v>
      </c>
      <c r="C851" t="s">
        <v>422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394</v>
      </c>
      <c r="C852" t="s">
        <v>423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394</v>
      </c>
      <c r="C853" t="s">
        <v>424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394</v>
      </c>
      <c r="C854" t="s">
        <v>425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394</v>
      </c>
      <c r="C855" t="s">
        <v>426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394</v>
      </c>
      <c r="C856" t="s">
        <v>427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394</v>
      </c>
      <c r="C857" t="s">
        <v>428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394</v>
      </c>
      <c r="C858" t="s">
        <v>429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430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431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432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433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434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435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436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437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438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439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440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442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443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444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445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446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447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448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449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450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451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453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454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455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456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457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458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459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460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461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462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463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464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465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466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467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1239</v>
      </c>
      <c r="C897" t="s">
        <v>1240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Battery Pack Price.xlsx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1239</v>
      </c>
      <c r="C898" t="s">
        <v>1241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Battery Pack Price.xlsx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1239</v>
      </c>
      <c r="C899" t="s">
        <v>1242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1243</v>
      </c>
      <c r="C900" t="s">
        <v>1244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BAU Rng Anxiety Shadow Costs.xlsx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1243</v>
      </c>
      <c r="C901" t="s">
        <v>1245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Rng Anxiety Shadow Costs.xlsx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1088</v>
      </c>
      <c r="C902" t="s">
        <v>1089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Required ZEV Sales Perc by Subregion.xlsx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1088</v>
      </c>
      <c r="C903" t="s">
        <v>1422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Required ZEV Sales Perc by Subregion.xlsx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1088</v>
      </c>
      <c r="C904" t="s">
        <v>1090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1088</v>
      </c>
      <c r="C905" t="s">
        <v>1091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1088</v>
      </c>
      <c r="C906" t="s">
        <v>1092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1088</v>
      </c>
      <c r="C907" t="s">
        <v>1423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1427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1246</v>
      </c>
      <c r="C915" t="s">
        <v>1247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1246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1249</v>
      </c>
      <c r="C919" t="s">
        <v>1252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1249</v>
      </c>
      <c r="C920" t="s">
        <v>1253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1249</v>
      </c>
      <c r="C921" t="s">
        <v>1254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1249</v>
      </c>
      <c r="C922" t="s">
        <v>1255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1249</v>
      </c>
      <c r="C923" t="s">
        <v>1256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1249</v>
      </c>
      <c r="C924" t="s">
        <v>1257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1249</v>
      </c>
      <c r="C925" t="s">
        <v>1258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1249</v>
      </c>
      <c r="C926" t="s">
        <v>1259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1249</v>
      </c>
      <c r="C927" t="s">
        <v>1260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1249</v>
      </c>
      <c r="C928" t="s">
        <v>1261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1249</v>
      </c>
      <c r="C929" t="s">
        <v>1262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1096</v>
      </c>
      <c r="C930" t="s">
        <v>1097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1096</v>
      </c>
      <c r="C931" t="s">
        <v>1098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468</v>
      </c>
      <c r="C932" t="s">
        <v>469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468</v>
      </c>
      <c r="C933" t="s">
        <v>470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471</v>
      </c>
      <c r="C934" t="s">
        <v>472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471</v>
      </c>
      <c r="C935" t="s">
        <v>473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1428</v>
      </c>
      <c r="C936" t="s">
        <v>1429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Estimated Bunker Fuel Emissions.xlsx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474</v>
      </c>
      <c r="C937" t="s">
        <v>475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Elast of Demand for Veh Use wrt Fuel Cost.xlsx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474</v>
      </c>
      <c r="C938" t="s">
        <v>476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477</v>
      </c>
      <c r="C939" t="s">
        <v>478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Effect of Feebate on New Veh Fuel Econ.xlsx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477</v>
      </c>
      <c r="C940" t="s">
        <v>479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480</v>
      </c>
      <c r="C941" t="s">
        <v>481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New Veh Fuel Econ wrt Fuel Cost.xlsx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480</v>
      </c>
      <c r="C942" t="s">
        <v>482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480</v>
      </c>
      <c r="C943" t="s">
        <v>483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480</v>
      </c>
      <c r="C944" t="s">
        <v>484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480</v>
      </c>
      <c r="C945" t="s">
        <v>485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480</v>
      </c>
      <c r="C946" t="s">
        <v>486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480</v>
      </c>
      <c r="C947" t="s">
        <v>487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488</v>
      </c>
      <c r="C948" t="s">
        <v>489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Elasticity of Veh Price wrt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488</v>
      </c>
      <c r="C949" t="s">
        <v>490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1263</v>
      </c>
      <c r="C950" t="s">
        <v>1264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EV Charging Availability Parameters.xlsx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1263</v>
      </c>
      <c r="C951" t="s">
        <v>1265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1263</v>
      </c>
      <c r="C952" t="s">
        <v>1266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767</v>
      </c>
      <c r="C953" t="s">
        <v>768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Charger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767</v>
      </c>
      <c r="C954" t="s">
        <v>769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858</v>
      </c>
      <c r="C955" t="s">
        <v>859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EV Charger Revenue Share by Recip ISIC Code.xlsx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858</v>
      </c>
      <c r="C956" t="s">
        <v>860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1267</v>
      </c>
      <c r="C957" t="s">
        <v>1268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Fraction of Subsidy for Battery Production Passed Through to Consumers.xlsx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1267</v>
      </c>
      <c r="C958" t="s">
        <v>1269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Fraction of Subsidy for Battery Production Passed Through to Consumers.xlsx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1270</v>
      </c>
      <c r="C959" t="s">
        <v>1271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Fraction of Vehicle Batteries Produced Domestically.xlsx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1270</v>
      </c>
      <c r="C960" t="s">
        <v>1272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Fraction of Vehicle Batteries Produced Domestically.xlsx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491</v>
      </c>
      <c r="C961" t="s">
        <v>492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Veh Owned by Entity.xlsx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491</v>
      </c>
      <c r="C962" t="s">
        <v>493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 Owned by Entity.xlsx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491</v>
      </c>
      <c r="C963" t="s">
        <v>494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 Owned by Entity.xlsx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1048</v>
      </c>
      <c r="C964" t="s">
        <v>1049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Fare per Unit Cargo Dist.xlsx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1048</v>
      </c>
      <c r="C965" t="s">
        <v>1050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Fare per Unit Cargo Dist.xlsx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1048</v>
      </c>
      <c r="C966" t="s">
        <v>1051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Fare per Unit Cargo Dist.xlsx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495</v>
      </c>
      <c r="C967" t="s">
        <v>496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Grams CO2e Avoided per LCFS Credit.xlsx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495</v>
      </c>
      <c r="C968" t="s">
        <v>497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Grams CO2e Avoided per LCFS Credit.xlsx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498</v>
      </c>
      <c r="C969" t="s">
        <v>499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Incremental Cost to Produce Substitute Fuel for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498</v>
      </c>
      <c r="C970" t="s">
        <v>500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Incremental Cost to Produce Substitute Fuel for LCFS.xlsx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501</v>
      </c>
      <c r="C971" t="s">
        <v>502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LCFS Credit Price Cap.xlsx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501</v>
      </c>
      <c r="C972" t="s">
        <v>503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LCFS Credit Price Cap.xlsx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504</v>
      </c>
      <c r="C973" t="s">
        <v>505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504</v>
      </c>
      <c r="C974" t="s">
        <v>506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504</v>
      </c>
      <c r="C975" t="s">
        <v>507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504</v>
      </c>
      <c r="C976" t="s">
        <v>508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504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504</v>
      </c>
      <c r="C978" t="s">
        <v>510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504</v>
      </c>
      <c r="C979" t="s">
        <v>511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504</v>
      </c>
      <c r="C980" t="s">
        <v>512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513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514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515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516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517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520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521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523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524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525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526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527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530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531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532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533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534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535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536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537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540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541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542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543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550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551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552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553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554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560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561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562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563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564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565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566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567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570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571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572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573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574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575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576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577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1430</v>
      </c>
      <c r="C1046" t="s">
        <v>1431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Non-Battery Portion of New Vehicle Price.xlsx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1430</v>
      </c>
      <c r="C1047" t="s">
        <v>1432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Non-Battery Portion of New Vehicle Price.xlsx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1430</v>
      </c>
      <c r="C1048" t="s">
        <v>1433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Non-Battery Portion of New Vehicle Price.xlsx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1430</v>
      </c>
      <c r="C1049" t="s">
        <v>1434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1430</v>
      </c>
      <c r="C1050" t="s">
        <v>1435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1430</v>
      </c>
      <c r="C1051" t="s">
        <v>1436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1430</v>
      </c>
      <c r="C1052" t="s">
        <v>1437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1430</v>
      </c>
      <c r="C1053" t="s">
        <v>1438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1430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1430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1430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1430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1430</v>
      </c>
      <c r="C1058" t="s">
        <v>1443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578</v>
      </c>
      <c r="C1059" t="s">
        <v>579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Perc Trans Fuel Use Reduction for Elec.xlsx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578</v>
      </c>
      <c r="C1060" t="s">
        <v>580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Perc Trans Fuel Use Reduction for Elec.xlsx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1444</v>
      </c>
      <c r="C1061" t="s">
        <v>1445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Policy Veh Types Subject to LCFS.xlsx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1444</v>
      </c>
      <c r="C1062" t="s">
        <v>1446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Policy Veh Types Subject to LCFS.xlsx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770</v>
      </c>
      <c r="C1063" t="s">
        <v>771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Quantization Size for Vehicles.xlsx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770</v>
      </c>
      <c r="C1064" t="s">
        <v>772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Quantization Size for Vehicles.xlsx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1273</v>
      </c>
      <c r="C1065" t="s">
        <v>1274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Retail Price Equivalent Factor.xlsx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1273</v>
      </c>
      <c r="C1066" t="s">
        <v>1275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Retail Price Equivalent Factor.xlsx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896</v>
      </c>
      <c r="C1067" t="s">
        <v>897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Recipient Transportation Mode Fractions.xlsx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896</v>
      </c>
      <c r="C1068" t="s">
        <v>898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Recipient Transportation Mode Fractions.xlsx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896</v>
      </c>
      <c r="C1069" t="s">
        <v>899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581</v>
      </c>
      <c r="C1070" t="s">
        <v>582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Share of Cargo Dist Transported that is New This Year.xlsx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581</v>
      </c>
      <c r="C1071" t="s">
        <v>664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Share of Cargo Dist Transported that is New This Year.xlsx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581</v>
      </c>
      <c r="C1072" t="s">
        <v>665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583</v>
      </c>
      <c r="C1073" t="s">
        <v>584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Separately Regulated Pollutants by Vehicle Type.xlsx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583</v>
      </c>
      <c r="C1074" t="s">
        <v>585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Separately Regulated Pollutants by Vehicle Type.xlsx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1276</v>
      </c>
      <c r="C1075" t="s">
        <v>1277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Start Year Battery Cap by Veh Type.xlsx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1276</v>
      </c>
      <c r="C1076" t="s">
        <v>1278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Start Year Battery Cap by Veh Type.xlsx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1276</v>
      </c>
      <c r="C1077" t="s">
        <v>1279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586</v>
      </c>
      <c r="C1078" t="s">
        <v>587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Fleet Avg Fuel Economy.xlsx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586</v>
      </c>
      <c r="C1079" t="s">
        <v>588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Fleet Avg Fuel Economy.xlsx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586</v>
      </c>
      <c r="C1080" t="s">
        <v>589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1280</v>
      </c>
      <c r="C1081" t="s">
        <v>1281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Number of EV Chargers.xlsx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1280</v>
      </c>
      <c r="C1082" t="s">
        <v>1282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Number of EV Chargers.xlsx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590</v>
      </c>
      <c r="C1083" t="s">
        <v>591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Vehicles by Technology.xlsx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590</v>
      </c>
      <c r="C1084" t="s">
        <v>592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Vehicles by Technology.xlsx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590</v>
      </c>
      <c r="C1085" t="s">
        <v>593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940</v>
      </c>
      <c r="C1086" t="s">
        <v>941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Transportation Technology Logit Exponents.xlsx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940</v>
      </c>
      <c r="C1087" t="s">
        <v>942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Transportation Technology Logit Exponents.xlsx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943</v>
      </c>
      <c r="C1088" t="s">
        <v>944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Shareweights.xlsx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943</v>
      </c>
      <c r="C1089" t="s">
        <v>945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Shareweights.xlsx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943</v>
      </c>
      <c r="C1090" t="s">
        <v>946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943</v>
      </c>
      <c r="C1091" t="s">
        <v>947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943</v>
      </c>
      <c r="C1092" t="s">
        <v>948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943</v>
      </c>
      <c r="C1093" t="s">
        <v>949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943</v>
      </c>
      <c r="C1094" t="s">
        <v>950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943</v>
      </c>
      <c r="C1095" t="s">
        <v>951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952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953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954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955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956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594</v>
      </c>
      <c r="C1101" t="s">
        <v>595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Veh Buyer Discount Rate.xlsx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594</v>
      </c>
      <c r="C1102" t="s">
        <v>596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Veh Buyer Discount Rate.xlsx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1283</v>
      </c>
      <c r="C1103" t="s">
        <v>1284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Veh Revenue Share by Recipient ISIC Code.xlsx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1283</v>
      </c>
      <c r="C1104" t="s">
        <v>1285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Revenue Share by Recipient ISIC Code.xlsx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1099</v>
      </c>
      <c r="C1105" t="s">
        <v>1100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Vehicle Shares by Subregion.xlsx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1099</v>
      </c>
      <c r="C1106" t="s">
        <v>1101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Vehicle Shares by Subregion.xlsx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1099</v>
      </c>
      <c r="C1107" t="s">
        <v>1102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1103</v>
      </c>
      <c r="C1108" t="s">
        <v>1104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 Techs Qualifying as ZEVs.xlsx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1103</v>
      </c>
      <c r="C1109" t="s">
        <v>1105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Techs Qualifying as ZEVs.xlsx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597</v>
      </c>
      <c r="C1110" t="s">
        <v>598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Subject to Fuel Econ Std.xlsx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597</v>
      </c>
      <c r="C1111" t="s">
        <v>599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Subject to Fuel Econ Std.xlsx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600</v>
      </c>
      <c r="B1112" t="s">
        <v>601</v>
      </c>
      <c r="C1112" t="s">
        <v>602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BTU Conversion Factors.xlsx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600</v>
      </c>
      <c r="B1113" t="s">
        <v>601</v>
      </c>
      <c r="C1113" t="s">
        <v>603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BTU Conversion Factors.xlsx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600</v>
      </c>
      <c r="B1114" t="s">
        <v>601</v>
      </c>
      <c r="C1114" t="s">
        <v>1447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600</v>
      </c>
      <c r="B1115" t="s">
        <v>601</v>
      </c>
      <c r="C1115" t="s">
        <v>604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600</v>
      </c>
      <c r="B1116" t="s">
        <v>601</v>
      </c>
      <c r="C1116" t="s">
        <v>605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600</v>
      </c>
      <c r="B1117" t="s">
        <v>601</v>
      </c>
      <c r="C1117" t="s">
        <v>606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600</v>
      </c>
      <c r="B1118" t="s">
        <v>607</v>
      </c>
      <c r="C1118" t="s">
        <v>666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per Total Primary Energy Unit.xlsx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600</v>
      </c>
      <c r="B1119" t="s">
        <v>607</v>
      </c>
      <c r="C1119" t="s">
        <v>667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607</v>
      </c>
      <c r="C1120" t="s">
        <v>608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609</v>
      </c>
      <c r="C1121" t="s">
        <v>610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Cargo Dist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609</v>
      </c>
      <c r="C1122" t="s">
        <v>611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609</v>
      </c>
      <c r="C1123" t="s">
        <v>612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613</v>
      </c>
      <c r="C1124" t="s">
        <v>614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Liters per Water Output Unit.xlsx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613</v>
      </c>
      <c r="C1125" t="s">
        <v>615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1052</v>
      </c>
      <c r="C1126" t="s">
        <v>1053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Mass Output Units.xlsx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1052</v>
      </c>
      <c r="C1127" t="s">
        <v>1054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1052</v>
      </c>
      <c r="C1128" t="s">
        <v>1055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616</v>
      </c>
      <c r="C1129" t="s">
        <v>617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Output Currency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616</v>
      </c>
      <c r="C1130" t="s">
        <v>618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616</v>
      </c>
      <c r="C1131" t="s">
        <v>619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616</v>
      </c>
      <c r="C1132" t="s">
        <v>620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2024-05-06T21:28:11Z</dcterms:modified>
</cp:coreProperties>
</file>